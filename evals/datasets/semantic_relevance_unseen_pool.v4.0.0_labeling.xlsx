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projects\book-recommender\evals\datasets\"/>
    </mc:Choice>
  </mc:AlternateContent>
  <xr:revisionPtr revIDLastSave="0" documentId="13_ncr:1_{650DD3C1-8747-4FA2-AB6E-7F74EB10CE19}" xr6:coauthVersionLast="47" xr6:coauthVersionMax="47" xr10:uidLastSave="{00000000-0000-0000-0000-000000000000}"/>
  <bookViews>
    <workbookView xWindow="-108" yWindow="-108" windowWidth="23256" windowHeight="12456" xr2:uid="{00000000-000D-0000-FFFF-FFFF00000000}"/>
  </bookViews>
  <sheets>
    <sheet name="Labeling" sheetId="1" r:id="rId1"/>
    <sheet name="Instructions" sheetId="2" r:id="rId2"/>
    <sheet name="Metadata" sheetId="3" state="hidden" r:id="rId3"/>
  </sheets>
  <definedNames>
    <definedName name="_xlnm._FilterDatabase" localSheetId="0" hidden="1">Labeling!$A$1:$I$61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2" l="1"/>
  <c r="B12" i="2"/>
  <c r="B14" i="2" s="1"/>
</calcChain>
</file>

<file path=xl/sharedStrings.xml><?xml version="1.0" encoding="utf-8"?>
<sst xmlns="http://schemas.openxmlformats.org/spreadsheetml/2006/main" count="1341" uniqueCount="415">
  <si>
    <t>case_id</t>
  </si>
  <si>
    <t>query_id</t>
  </si>
  <si>
    <t>query</t>
  </si>
  <si>
    <t>title</t>
  </si>
  <si>
    <t>authors</t>
  </si>
  <si>
    <t>description</t>
  </si>
  <si>
    <t>human_score</t>
  </si>
  <si>
    <t>human_reason</t>
  </si>
  <si>
    <t>review_status</t>
  </si>
  <si>
    <t>U4_Q01_T01</t>
  </si>
  <si>
    <t>Q01</t>
  </si>
  <si>
    <t>A story about forgiveness and redemption</t>
  </si>
  <si>
    <t>The Screwtape Letters</t>
  </si>
  <si>
    <t>C. S. Lewis</t>
  </si>
  <si>
    <t>In this humorous and perceptive exchange between two devils, C. S. Lewis delves into moral questions about good vs. evil, temptation, repentance, and grace. Through this wonderful tale, the reader emerges with a better understanding of what it means to live a faithful life.</t>
  </si>
  <si>
    <t>UNREVIEWED</t>
  </si>
  <si>
    <t>U4_Q01_T02</t>
  </si>
  <si>
    <t>Go Tell it on the Mountain</t>
  </si>
  <si>
    <t>James Baldwin</t>
  </si>
  <si>
    <t>The story of the guilt, bitterness and spiritual strivings of the Grimes family which is told as the son, John, faces the issue of religious conversion in the Temple of the Fire Baptised.</t>
  </si>
  <si>
    <t>U4_Q01_T03</t>
  </si>
  <si>
    <t>The Drowned and the Saved</t>
  </si>
  <si>
    <t>Primo Levi</t>
  </si>
  <si>
    <t>Shortly after completing THE DROWNED AND THE SAVED, Primo Levi committed suicide. The matter of his death was sudden, violent and unpremiditated, and there were some who argue that he killed himself because he was tormented by guilt - guilt that he had survived the horrors of Auschwitz while others, better than he, had gone to the wall. THE DROWNED AND THE SAVED is Levi's impassioned attempt to understand the 'rationale' behind the concentration camps, was completed shortly before his tragic death in 1987. THE DROWNED AND THE SAVED dispels the myth that Primo Levi forgave the Germans for what they did to his people. He didn't and couldn't forgive. He refused, however, to indulge in what he called 'the bestial vice of hatred' which is an entirely different matter. The voice that sounds in his writing is that of a reasonable man...it warns and reminds us that the unimaginable can happen again. A would-be tyrant is waiting in the wings, with 'beautiful words' on his lips. The book is constantly impressing on us the need to learn from the past, to make sense of the senseless' PAUL BAILEY</t>
  </si>
  <si>
    <t>U4_Q01_T04</t>
  </si>
  <si>
    <t>When She was Good</t>
  </si>
  <si>
    <t>Philip Roth</t>
  </si>
  <si>
    <t>In this funny and chilling novel, the setting is a small town in the 1940s Midwest, and the subject is the heart of a wounded and ferociously moralistic young woman, one of those implacable American moralists whose "goodness" is a terrible disease. When she was still a child, Lucy Nelson had her alcoholic failure of a father thrown in jail. Ever since then she has been trying to reform the men around her, even if that ultimately means destroying herself in the process. With his unerring portraits of Lucy and her hapless, childlike husband, Roy, Roth has created an uncompromising work of fictional realism, a vision of provincial American piety, yearning, and discontent that is at once pitiless and compassionate.</t>
  </si>
  <si>
    <t>U4_Q01_T05</t>
  </si>
  <si>
    <t>Zizek</t>
  </si>
  <si>
    <t>Sarah Kay</t>
  </si>
  <si>
    <t>Zizek is hailed as the most significant interdisciplinary thinker of modern times. His work is a powerful, often explosive combination of Lacanian psychoanalysis and philosophy which tests key psychoanalytical concepts against the ideas of major European thinkers, especially Hegel. It has ignited enthusiasm and stimulated new approaches across a vast range of disciplines, and seems to be attracting an ever-growing readership. In part, this is because Zizek himself has a panoramic range of interests encompassing film studies, literature, cyber culture, ethics, theology and, above all, politics. It is also because he is a highly entertaining writer, having a flair for anecdote, a smutty sense of humour and the knack of capturing complex ideas in concrete form. Sarah Kay's book provides a lucid and comprehensive introduction to Zizek's work. His writings to date are presented and evaluated here for the first time, together with an outline of their development and explanations of his key premises, themes and terms. This book will be essential reading for students of cultural studies, literary studies, philosophy and social and political theory.</t>
  </si>
  <si>
    <t>U4_Q02_T01</t>
  </si>
  <si>
    <t>Q02</t>
  </si>
  <si>
    <t>A suspenseful story involving crime and investigation</t>
  </si>
  <si>
    <t>Island of Bones</t>
  </si>
  <si>
    <t>P. J. Parrish</t>
  </si>
  <si>
    <t>When the bullet-ridden body of a woman, identified only by a strange ring on her finger, and a tiny skull wash up on shore, Detective Louis Kincaid makes a connection that takes him to a remote island rife with evil and betrayal.</t>
  </si>
  <si>
    <t>U4_Q02_T02</t>
  </si>
  <si>
    <t>Voice of the Violin</t>
  </si>
  <si>
    <t>Andrea Camilleri</t>
  </si>
  <si>
    <t>Discovering the murdered body of a beautiful young woman, Sicilian detective Salvo Montalbano finds suspects in the victim's aging husband, a famous doctor, a missing admirer, an antiques dealer, a close friend, and a reclusive violinist. Reprint.</t>
  </si>
  <si>
    <t>U4_Q02_T03</t>
  </si>
  <si>
    <t>Seventy-Seven Clocks</t>
  </si>
  <si>
    <t>Christopher Fowler</t>
  </si>
  <si>
    <t>Peculiar Crimes Unit detectives John May and Arthur Bryant become embroiled in a twisted and complex conspiracy involving blackmail, priceless artworks, violence, and ritual murder when they investigate the bizarre death of a guest at London's famed Savoy Hotel. Original.</t>
  </si>
  <si>
    <t>U4_Q02_T04</t>
  </si>
  <si>
    <t>A False Mirror</t>
  </si>
  <si>
    <t>Charles Todd</t>
  </si>
  <si>
    <t>Summoned to a small harbor town by a former trenchmate falsely accused of assaulting an ex-lover's husband, Scotland Yard inspector Ian Rutledge is reminded of an affair from his own past and investigates a bizarre coincidence.</t>
  </si>
  <si>
    <t>U4_Q02_T05</t>
  </si>
  <si>
    <t>The Art of Loving</t>
  </si>
  <si>
    <t>Eiki Eiki;Yukine Honami</t>
  </si>
  <si>
    <t>"What's the greatest happiness one can know in love? For Yutaka, there is only one answer: sex. To him, happiness and lust are the same thing. The likeable and respectable heir to the wealthy Fujiwara family is being torn inside-out by repressed physical desires. Then one day, Tohno, a transfer student, shows up at school. Yutaka sees Tohno as the 'toy' that will make real all his desires and debauched fantasies. A life-long friendship based on trust and gratitude--will it all be shattered when Tohno learns the truth about Yutaka's obsession?"--P. [4] of cover.</t>
  </si>
  <si>
    <t>U4_Q03_T01</t>
  </si>
  <si>
    <t>Q03</t>
  </si>
  <si>
    <t>A book about personal growth and finding purpose</t>
  </si>
  <si>
    <t>Bridget Jones's Diary</t>
  </si>
  <si>
    <t>Helen Fielding</t>
  </si>
  <si>
    <t>Chronicles a year in the life of Bridget Jones, a single, thirtysomething woman on a perpetual quest for self-improvement, as she struggles to cope with relationships, weight control, and the other baffling complexities of modern life.</t>
  </si>
  <si>
    <t>U4_Q03_T02</t>
  </si>
  <si>
    <t>Discover Your Destiny with the Monk Who Sold His Ferrari</t>
  </si>
  <si>
    <t>Robin Sharma</t>
  </si>
  <si>
    <t>A potent pathway to self-awakening that will help you to live your greatest life and claim the happiness, prosperity and inner peace that you deserve. From the author of the international bestseller, The Monk Who Sold His Ferrari.</t>
  </si>
  <si>
    <t>U4_Q03_T03</t>
  </si>
  <si>
    <t>The Dragon Doesn't Live Here Anymore</t>
  </si>
  <si>
    <t>Alan Cohen</t>
  </si>
  <si>
    <t>The author of Dare to Be Yourself presents a series of illuminating essays designed to assist readers on a journey toward spiritual enlightenment and fulfilling self-discovery. Reprint.</t>
  </si>
  <si>
    <t>U4_Q03_T04</t>
  </si>
  <si>
    <t>Too Busy Not to Pray</t>
  </si>
  <si>
    <t>Bill Hybels;LaVonne Neff</t>
  </si>
  <si>
    <t>Most of us have trouble finding time to pray. And then the crises hit! Time for prayer seems impossible to find. The ideas in this practical book can help us to learn to slow down to be with God as well. Also included is a helpful guide for personal and group prayer.</t>
  </si>
  <si>
    <t>U4_Q03_T05</t>
  </si>
  <si>
    <t>Storming the Gates of Paradise</t>
  </si>
  <si>
    <t>Rebecca Solnit</t>
  </si>
  <si>
    <t>An anthology of nearly forty essays, representing the author's work over the past ten years, offers an insightful overview of American politics, current affairs, culture, society, and history, written from the perspective of a noted environmentalist, anti-globalization activist, and public intellectual. By the author of A Field Guide to Getting Lost.</t>
  </si>
  <si>
    <t>U4_Q04_T01</t>
  </si>
  <si>
    <t>Q04</t>
  </si>
  <si>
    <t>A fantasy adventure involving magic and dangerous journeys</t>
  </si>
  <si>
    <t>The King of Elfland's Daughter</t>
  </si>
  <si>
    <t>Edward John Moreton Drax Plunkett Baron Dunsany</t>
  </si>
  <si>
    <t>A young prince ventures into a mysterious forest in search of the land of Faerie and of a princess bride, in one of the landmarks of modern fantasy fiction</t>
  </si>
  <si>
    <t>U4_Q04_T02</t>
  </si>
  <si>
    <t>Banker</t>
  </si>
  <si>
    <t>Dick Francis</t>
  </si>
  <si>
    <t>It is difficult to say where disaster begins, to point towards one particular happening as the first definite step towards distant cataclysm. Looking back, Tim Ekaterin sees the beginning as the day his boss stepped into a fountain. Onwards from there, he comes across people and events as yet unconnected but which, when woven together by time and chance, leads towards violent explosive action and the threat of death. Set in the worlds of thoroughbred racing and merchant banking, the story covers a span of three years, growing from quiet harmless-seeming seeds to a wholly horrific harvest.</t>
  </si>
  <si>
    <t>U4_Q04_T03</t>
  </si>
  <si>
    <t>The Faraway Tree Stories</t>
  </si>
  <si>
    <t>Enid Blyton</t>
  </si>
  <si>
    <t>Jo, Bessie and Fanny move to the country and find an Enchanted Wood right on their doorstep And in the wood stands the magic Faraway Tree, and in that tree live the magical characters that soon become their new friends - Moon-Face, Silky the fairy, and Saucepan Man. Together they climb through the clouds to the top of the tree and discover the Land of Spells, The Land of Secrets and the Land of Do-As-You-like. There are lots of magical adventures to read about in this bumper 3-in-1 edition.</t>
  </si>
  <si>
    <t>U4_Q04_T04</t>
  </si>
  <si>
    <t>Armageddon's Children</t>
  </si>
  <si>
    <t>Terry Brooks</t>
  </si>
  <si>
    <t>In a futuristic world in which civilization is near total collapse, evil forces control the ruins of the former United States, killing and enslaving the survivors, until Logan Tom embarks on a mission to find a child who bears a powerful magic that couldsave the world.</t>
  </si>
  <si>
    <t>U4_Q04_T05</t>
  </si>
  <si>
    <t>Hamlet's Mill</t>
  </si>
  <si>
    <t>Giorgio De Santillana;Hertha von Dechend</t>
  </si>
  <si>
    <t>Ever since the Greeks coined the language we commonly use for scientific description, mythology and science have developed separately. But what came before the Greeks? What if we could prove that all myths have one common origin in a celestial cosmology? What if the gods, the places they lived, and what they did are but ciphers for celestial activity, a language for the perpetuation of complex astronomical data? Drawing on scientific data, historical and literary sources, the authors argue that our myths are the remains of a preliterate astronomy, an exacting science whose power and accuracy were suppressed and then forgotten by an emergent Greco-Roman world view. This fascinating book throws into doubt the self-congratulatory assumptions of Western science about the unfolding development and transmission of knowledge. This is a truly seminal and original thesis, a book that should be read by anyone interested in science, myth, and the interactions between the two.</t>
  </si>
  <si>
    <t>U4_Q05_T01</t>
  </si>
  <si>
    <t>Q05</t>
  </si>
  <si>
    <t>A historical book about war and political conflict</t>
  </si>
  <si>
    <t>The Coming Fury</t>
  </si>
  <si>
    <t>Bruce Catton;Everette Beach Long</t>
  </si>
  <si>
    <t>Chronicles the history of the American Civil War, starting with the Democratic Party's Charleston Convention in 1860, and ending with first battle of the war at Bull Run.</t>
  </si>
  <si>
    <t>U4_Q05_T02</t>
  </si>
  <si>
    <t>The Amateur Marriage</t>
  </si>
  <si>
    <t>Anne Tyler</t>
  </si>
  <si>
    <t>Marrying quickly during World War II after falling in love at first sight, a mismatched couple discovers that their very different personalities and approaches to life are taking a toll on their lives, their relationship, and their family, in a compelling novel spanning three generations. Reader's Guide included. Reprint.</t>
  </si>
  <si>
    <t>U4_Q05_T03</t>
  </si>
  <si>
    <t>A Farewell to Arms?</t>
  </si>
  <si>
    <t>Michael Cox;Adrian Guelke;Fiona Stephen</t>
  </si>
  <si>
    <t>Neither naively optimistic nor hopelessley pessimistic, this collection of writings by experts on the history of the troubles in Northern Ireland paints a realistic picture of the peace processes that have dotted the province's landscape.</t>
  </si>
  <si>
    <t>U4_Q05_T04</t>
  </si>
  <si>
    <t>A Power Governments Cannot Suppress</t>
  </si>
  <si>
    <t>Howard Zinn</t>
  </si>
  <si>
    <t>A Power Governments Cannot Suppress is Howard Zinn’s major new collection of essays on American history, class, immigration, justice, and ordinary citizens who have made a difference.</t>
  </si>
  <si>
    <t>U4_Q05_T05</t>
  </si>
  <si>
    <t>Hard Eight</t>
  </si>
  <si>
    <t>Janet Evanovich</t>
  </si>
  <si>
    <t>When Stephanie Plum is hired to find a missing child, she begins to wonder if she is working on the right side of the law when events turn suspicious, and in the wake of a rocky relationship with Morelli, Ranger finds an opportunity to act on his feelings. Reprint.</t>
  </si>
  <si>
    <t>U4_Q06_T01</t>
  </si>
  <si>
    <t>Q06</t>
  </si>
  <si>
    <t>A moving story about grief, loss, and learning to live again</t>
  </si>
  <si>
    <t>Veronika Decides to Die</t>
  </si>
  <si>
    <t>Paulo Coelho</t>
  </si>
  <si>
    <t>Twenty-four-year-old Veronika seems to have everything -- youth and beauty, boyfriends and a loving family, a fulfilling job. But something is missing in her life. So, one cold November morning, she takes a handful of sleeping pills expecting never to wake up. But she does -- at a mental hospital where she is told that she has only days to live. Inspired by events in Coelho's own life, Veronika Decides to Die questions the meaning of madness and celebrates individuals who do not fit into patterns society considers to be normal. Bold and illuminating, it is a dazzling portrait of a young woman at the crossroads of despair and liberation, and a poetic, exuberant appreciation of each day as a renewed opportunity.</t>
  </si>
  <si>
    <t>U4_Q06_T02</t>
  </si>
  <si>
    <t>CliffsNotes on Hemingway's The Sun Also Rises</t>
  </si>
  <si>
    <t>Gary Carey</t>
  </si>
  <si>
    <t>This is the book that chronicled the lives and times of "the Lost Generation," American expatriates that filled Europe between the world wars. Hemingway's expatriates are there for two different reasons: one is there solely for entertainment, the other, to heal from the horrors of war and create something worth living for. Wounded Jake Barnes narrates a great, difficult love story.</t>
  </si>
  <si>
    <t>U4_Q06_T03</t>
  </si>
  <si>
    <t>The Pact</t>
  </si>
  <si>
    <t>Jodi Picoult</t>
  </si>
  <si>
    <t>Until the phone calls came at three o'clock on a November morning, the Golds and their neighbors, the Hartes, had been inseparable. It was no surprise to anyone when their teenage children, Chris and Emily, began showing signs that their relationship was moving beyond that of lifelong friends. But now seventeen-year-old Emily is dead—shot with a gun her beloved and devoted Chris pilfered from his father's cabinet as part of an apparent suicide pact—leaving two devastated families stranded in the dark and dense predawn, desperate for answers about an unthinkable act and the children they never really knew. From New York Times bestselling author Jodi Picoult—one of the most powerful writers in contemporary fiction—comes a riveting, timely, heartbreaking, and terrifying novel of families in anguish and friendships ripped apart by inconceivable violence.</t>
  </si>
  <si>
    <t>U4_Q06_T04</t>
  </si>
  <si>
    <t>Limbo</t>
  </si>
  <si>
    <t>Alfred Lubrano</t>
  </si>
  <si>
    <t>In Limbo, award-winning journalist Alfred Lubrano identifies and describes an overlooked cultural phenomenon: the internal conflict within individuals raised in blue-collar homes, now living white-collar lives. These people often find that the values of the working class are not sufficient guidance to navigate the white-collar world, where unspoken rules reflect primarily upper-class values. Torn between the world they were raised in and the life they aspire too, they hover between worlds, not quite accepted in either. Himself the son of a Brooklyn bricklayer, Lubrano informs his account with personal experience and interviews with other professionals living in limbo. For millions of Americans, these stories will serve as familiar reminders of the struggles of achieving the American Dream.</t>
  </si>
  <si>
    <t>U4_Q06_T05</t>
  </si>
  <si>
    <t>The Last Book of Swords: Shieldbreaker's Story</t>
  </si>
  <si>
    <t>Fred Saberhagen</t>
  </si>
  <si>
    <t>Created by gods, the forged Twelve Swords can kill the gods themselves if they fall into human hands, and when Vilkata the Dark King returns from exile determined to get the swords, only an untested boy, with Shieldbreaker in hand, stands in the man's way. Reissue.</t>
  </si>
  <si>
    <t>U4_Q07_T01</t>
  </si>
  <si>
    <t>Q07</t>
  </si>
  <si>
    <t>A story about a complicated relationship between a parent and child</t>
  </si>
  <si>
    <t>First Love</t>
  </si>
  <si>
    <t>Joyce Carol Oates</t>
  </si>
  <si>
    <t>A thirteen-year-old girl moves with her mother to her aunt's house, where she becomes involved in an affair with her aloof, twenty-five-year-old cousin, a seminary student, a liaison that leaves her victimized and confused. Reprint.</t>
  </si>
  <si>
    <t>U4_Q07_T02</t>
  </si>
  <si>
    <t>Beauty and Sadness</t>
  </si>
  <si>
    <t>Yasunari Kawabata</t>
  </si>
  <si>
    <t>A destructive love affair between a married writer and a teenage girl that continues to haunt both of them more than twenty years after their last embrace.</t>
  </si>
  <si>
    <t>U4_Q07_T03</t>
  </si>
  <si>
    <t>By the River Piedra I Sat Down and Wept</t>
  </si>
  <si>
    <t>From Paulo Coelho, author of the international bestseller The Alchemist, comes a poignant, richly poetic story that reflects the depth of love and life. Rarely does adolescent love reach its full potential, but what happens when two young lovers reunite after eleven years? Time has transformed Pilar into a strong and independent woman, while her devoted childhood friend has grown into a handsome and charismatic spiritual leader. She has learned well how to bury her feelings . . . and he has turned to religion as a refuge from his raging inner conflicts. Now they are together once again, embarking on a journey fraught with difficulties, as long-buried demons of blame and resentment resurface after more than a decade. But in a small village in the French Pyrenees, by the waters of the River Piedra, a most special relationship will be reexamined in the dazzling light of some of life's biggest questions.</t>
  </si>
  <si>
    <t>U4_Q07_T04</t>
  </si>
  <si>
    <t>Your Best Friend's Boyfriend</t>
  </si>
  <si>
    <t>J. E. Bright</t>
  </si>
  <si>
    <t>When the main character recieves attention from her best friend's boyfriend, the reader is asked to choose how the story will progress at various points along the narrative.</t>
  </si>
  <si>
    <t>U4_Q07_T05</t>
  </si>
  <si>
    <t>Harry Potter and the Half-Blood Prince (Book 6)</t>
  </si>
  <si>
    <t>Rowling, J.K.</t>
  </si>
  <si>
    <t>When Harry Potter and the Half-Blood Prince opens, the war against Voldemort has begun. The Wizarding world has split down the middle, and as the casualties mount, the effects even spill over onto the Muggles. Dumbledore is away from Hogwarts for long periods, and the Order of the Phoenix has suffered grievous losses. And yet, as in all wars, life goes on. Harry, Ron, and Hermione, having passed their O.W.L. level exams, start on their specialist N.E.W.T. courses. Sixth-year students learn to Apparate, losing a few eyebrows in the process. Teenagers flirt and fight and fall in love. Harry becomes captain of the Gryffindor Quidditch team, while Draco Malfoy pursues his own dark ends. And classes are as fascinating and confounding as ever, as Harry receives some extraordinary help in Potions from the mysterious Half-Blood Prince. Most importantly, Dumbledore and Harry work together to uncover the full and complex story of a boy once named Tom Riddle—the boy who became Lord Voldemort. Like Harry, he was the son of one Muggle-born and one Wizarding parent, raised unloved, and a speaker of Parseltongue. But the similarities end there, as the teenaged Riddle became deeply interested in the Dark objects known as Horcruxes: objects in which a wizard can hide part of his soul, if he dares splinter that soul through murder. Harry must use all the tools at his disposal to draw a final secret out of one of Riddle’s teachers, the sly Potions professor Horace Slughorn. Finally Harry and Dumbledore hold the key to the Dark Lord’s weaknesses... until a shocking reversal exposes Dumbledore’s own vulnerabilities, and casts Harry’s—and Hogwarts’s—future in shadow.</t>
  </si>
  <si>
    <t>U4_Q08_T01</t>
  </si>
  <si>
    <t>Q08</t>
  </si>
  <si>
    <t>A beginner-friendly book explaining astronomy and the universe</t>
  </si>
  <si>
    <t>Einstein's Dreams</t>
  </si>
  <si>
    <t>Alan P. Lightman</t>
  </si>
  <si>
    <t>Young Albert Einstein's dreams are imagined in a book that joins science and art to ponder such questions as the viscosity and flexibility of time. Reissue.</t>
  </si>
  <si>
    <t>U4_Q08_T02</t>
  </si>
  <si>
    <t>The Future of the Universe</t>
  </si>
  <si>
    <t>A.J. Meadows</t>
  </si>
  <si>
    <t>Many books have described how the universe became the way it is today. But what about the future of the universe? How long might the universe as we recognize it survive? The Future of the Universe takes the reader on a journey through space and time, beginning with a long look at the Earth and solar system, voyaging to the outermost galaxies, and finishing with speculations about the life and fate of the entire universe.</t>
  </si>
  <si>
    <t>U4_Q08_T03</t>
  </si>
  <si>
    <t>Baby Einstein: Neighborhood Animals</t>
  </si>
  <si>
    <t>Marilyn Singer;Julie Aigner-Clark</t>
  </si>
  <si>
    <t>Children will discover the exciting world of their own backyard in this introduction to familiar animals from cats and dogs to bugs and frogs. The combination of photographs, illustrations, and fun facts make this an accessible and delightful learning experience.</t>
  </si>
  <si>
    <t>U4_Q08_T04</t>
  </si>
  <si>
    <t>E</t>
  </si>
  <si>
    <t>David Bodanis</t>
  </si>
  <si>
    <t>Examines the science and scientists who provided the backdrop to Einstein's influential 1905 discovery and offers an explanation of the equation from mathematical, historical, and scientific perspectives.</t>
  </si>
  <si>
    <t>U4_Q08_T05</t>
  </si>
  <si>
    <t>Bowling Alone</t>
  </si>
  <si>
    <t>Robert D. Putnam</t>
  </si>
  <si>
    <t>Shows how changes in work, family structure, women's roles, and other factors have caused people to become increasingly disconnected from family, friends, neighbors, and democratic structures--and how they may reconnect.</t>
  </si>
  <si>
    <t>U4_Q09_T01</t>
  </si>
  <si>
    <t>Q09</t>
  </si>
  <si>
    <t>A dystopian story about authoritarian control and resistance</t>
  </si>
  <si>
    <t>High Society</t>
  </si>
  <si>
    <t>Ben Elton</t>
  </si>
  <si>
    <t>The author presents a terrifying vision of a world out of control, ruled by drug lords and their criminal organizations and encouraging an environment of lawlessness and chaos.</t>
  </si>
  <si>
    <t>U4_Q09_T02</t>
  </si>
  <si>
    <t>You Bright and Risen Angels</t>
  </si>
  <si>
    <t>William T. Vollmann</t>
  </si>
  <si>
    <t>This comic and surreal novel about the beastliness and pain in the world focuses on the stories of assorted young American misfits, reactionaries and revolutionaries, young lovers, and raging old tyrants</t>
  </si>
  <si>
    <t>U4_Q09_T03</t>
  </si>
  <si>
    <t>Whirlwind</t>
  </si>
  <si>
    <t>James Clavell</t>
  </si>
  <si>
    <t>This is the story of three weeks of fanaticism, passion, self-sacrifice and heartbreak in Tehran in February 1979. Caught between the revolutionaries and the forces of international intrigue is a team of professional pilots. Two of them have Iranian wives they love beyond safety and politics.</t>
  </si>
  <si>
    <t>U4_Q09_T04</t>
  </si>
  <si>
    <t>The Brief and Frightening Reign of Phil</t>
  </si>
  <si>
    <t>George Saunders</t>
  </si>
  <si>
    <t>Citizens waiting to enter the country of Inner Horner, a strange land that is only large enough for one resident at a time, fall prey to the tyrannical rule of the ambitious and power-hungry Phil, igniting an outbreak of injustice and mass hysteria, in an unusual novel by the author of Pastoralia. Original.</t>
  </si>
  <si>
    <t>U4_Q09_T05</t>
  </si>
  <si>
    <t>American Gospel</t>
  </si>
  <si>
    <t>Jon Meacham</t>
  </si>
  <si>
    <t>Author Meacham tells the human story of how the Founding Fathers viewed faith, and how they ultimately created a nation in which belief in God is a matter of choice. At a time when our country seems divided by extremism, this book draws on the past to offer a new perspective. Meacham re-creates the history of a nation grappling with religion and politics--from John Winthrop's "city on a hill" sermon to Thomas Jefferson's Declaration of Independence; from a proposed nineteenth-century Christian Amendment to the Constitution to Martin Luther King, Jr.'s call for civil rights; from George Washington to Ronald Reagan. At the heart of the American experiment lies what Benjamin Franklin called "public religion," a God who invests all human beings with inalienable rights while protecting private religion from government interference. It is a great American balancing act, and it has served us well.--From publisher description.</t>
  </si>
  <si>
    <t>U4_Q10_T01</t>
  </si>
  <si>
    <t>Q10</t>
  </si>
  <si>
    <t>A book about leadership, teamwork, and building effective organizations</t>
  </si>
  <si>
    <t>The Leadership Challenge</t>
  </si>
  <si>
    <t>James M. Kouzes;Barry Z. Posner</t>
  </si>
  <si>
    <t>When it was initially written in 1987, few could have predicted that The Leadership Challenge would become one of the best-selling leadership books of all time. Now, faced with the new challenges of our unpredictable global business environment, Jim Kouzes and Barry Posner--two of the country's premier leadership experts--have completely revised and updated their classic book. Building on the knowledge base of their previous books, the third edition of The Leadership Challenge is grounded in extensive research and based on interviews with all kinds of leaders at all levels in public and private organizations from around the world. In this edition, the authors emphasize that the fundamentals of leadership are the same today as they were in the 1980s, and as they've probably been for centuries. In that sense, nothing's new. Leadership is not a fad. While the content of leadership has not changed, the context has-and in some cases, changed dramatically.</t>
  </si>
  <si>
    <t>U4_Q10_T02</t>
  </si>
  <si>
    <t>Silos, Politics and Turf Wars</t>
  </si>
  <si>
    <t>Patrick M. Lencioni</t>
  </si>
  <si>
    <t>In yet another page-turner, New York Times best-selling author and acclaimed management expert Patrick Lencioni addresses the costly and maddening issue of silos, the barriers that create organizational politics. Silos devastate organizations, kill productivity, push good people out the door, and jeopardize the achievement of corporate goals. As with his other books, Lencioni writes Silos, Politics, and Turf Wars as a fictional—but eerily realistic—story. The story is about Jude Cousins, an eager young management consultant struggling to launch his practice by solving one of the more universal and frustrating problems faced by his clients. Through trial and error, he develops a simple yet ground-breaking approach for helping them transform confusion and infighting into clarity and alignment.</t>
  </si>
  <si>
    <t>U4_Q10_T03</t>
  </si>
  <si>
    <t>Things Fall Apart</t>
  </si>
  <si>
    <t>Chinua Achebe;Sandra Widner</t>
  </si>
  <si>
    <t>[This book is] a simple story of a "strong man" whose life is dominated by fear and anger ... Uniquely ... African, at the same time it reveals [the author's] ... awareness of the human qualities common to men of all times and places.-Back cover.</t>
  </si>
  <si>
    <t>U4_Q10_T04</t>
  </si>
  <si>
    <t>Company</t>
  </si>
  <si>
    <t>Max Barry</t>
  </si>
  <si>
    <t>On his first day of training, Stephen Jones, a young recruit, reports to the Zephyr Holding Building, where he finds a company defined by its lack of clarity, a building numbered in reverse, an invisible CEO, and a crisis over the theft of a donut, in a zany satire of corporate life. By the author of Jennifer Government. Reprint. 50,000 first printing.</t>
  </si>
  <si>
    <t>U4_Q10_T05</t>
  </si>
  <si>
    <t>Waiting for the Barbarians</t>
  </si>
  <si>
    <t>J. M. Coetzee</t>
  </si>
  <si>
    <t>A magistrate in a country village protests the army's treatment of members of the barbarian tribes taken prisoner during a civil war and finds himself arrested as a traitor.</t>
  </si>
  <si>
    <t>U4_Q11_T01</t>
  </si>
  <si>
    <t>Q11</t>
  </si>
  <si>
    <t>An adventure inspired by mythology, gods, and legendary heroes</t>
  </si>
  <si>
    <t>Pirates of the Caribbean: The Siren Song - Jack Sparrow Book #2</t>
  </si>
  <si>
    <t>Rob Kidd</t>
  </si>
  <si>
    <t>Still on a mission to find the legendary Sword of Cortâes, the crew of the Barnacle becomes entranced by an ethereal song that pulls them away from their mission, leaving Captain Jack Sparrow to have to find the source behind the dark spell.</t>
  </si>
  <si>
    <t>U4_Q11_T02</t>
  </si>
  <si>
    <t>The Aeneid</t>
  </si>
  <si>
    <t>Virgil</t>
  </si>
  <si>
    <t>Virgil's Aeneid, inspired by Homer and inspiration for Dante and Milton, is an immortal poem at the heart of Western life and culture. Virgil took as his hero Aeneas, legendary survivor of the fall of Troy and father of the Roman race, and in telling a story of dispossession and defeat, love and war, he portrayed human life in all its nobility and suffering.</t>
  </si>
  <si>
    <t>U4_Q11_T03</t>
  </si>
  <si>
    <t>Beowulf &amp; Grendel</t>
  </si>
  <si>
    <t>John Grigsby</t>
  </si>
  <si>
    <t>The author of Heaven's Mirror and The Mars Mystery presents evidence that the legend of Beowulf originated in an ancient human sacrifice ritual that was suppressed in Britain and later found expression in this compelling tale. Original.</t>
  </si>
  <si>
    <t>U4_Q11_T04</t>
  </si>
  <si>
    <t>Goddess of the Rose</t>
  </si>
  <si>
    <t>P. C. Cast</t>
  </si>
  <si>
    <t>This fourth novel in Cast's Goddess Summoning series retells the classic "Beauty and the Beast," as a young high priestess must remove a curse from the Rose Realm, waking the goddess Hecate's guardian beast from his permanent slumber. Original.</t>
  </si>
  <si>
    <t>U4_Q11_T05</t>
  </si>
  <si>
    <t>Boomers, Xers, and Other Strangers</t>
  </si>
  <si>
    <t>Rick Hicks;Kathy Hicks</t>
  </si>
  <si>
    <t>The authors maintain that children's core values are greatly shaped by what is going on in their culture when they are ten years old--and they show parents how to achieve reconciliation and improve communication between generations.</t>
  </si>
  <si>
    <t>U4_Q12_T01</t>
  </si>
  <si>
    <t>Q12</t>
  </si>
  <si>
    <t>A thoughtful book about inequality, poverty, and how society distributes wealth</t>
  </si>
  <si>
    <t>The Drama of the Gifted Child</t>
  </si>
  <si>
    <t>nan</t>
  </si>
  <si>
    <t>Why are many of the most successful people plagued by feelings of emptiness and alienation? This wise and profound book has provided thousands of readers with an answer—and has helped them to apply it to their own lives.Far too many of us had to learn as children to hide our own feelings, needs, and memories skillfully in order to meet our parents’ expectations and win their ”love.” Alice Miller writes, ”When I used the word ’gifted’ in the title, I had in mind neither children who receive high grades in school nor children talented in a special way. I simply meant all of us who have survived an abusive childhood thanks to an ability to adapt even to unspeakable cruelty by becoming numb… Without this ’gift’ offered us by nature, we would not have survived.” But merely surviving is not enough. The Drama of the Gifted Child helps us to reclaim our life by discovering our own crucial needs and our own truth.</t>
  </si>
  <si>
    <t>U4_Q12_T02</t>
  </si>
  <si>
    <t>Sociology</t>
  </si>
  <si>
    <t>Anthony Giddens;Simon Griffiths</t>
  </si>
  <si>
    <t>This fully revised and updated version of Anthony Giddens′s Sociology, now in its fifth edition, offers an unrivalled introduction for students new to the subject – lucid, lively, authoritative and original. Written by one of the world′s leading sociologists, this comprehensive textbook manages to be clear, accessible and jargon–free, but without oversimplifying complex debates. Earlier editions of Sociology broke new ground by incorporating cutting–edge debates, such as the impact of globalisation, into an introductory text. This fifth edition remains a state of the art textbook, with fresh and engaging new material added throughout. While covering all of the core topics of sociology, the fifth edition also includes a great deal of substantive new material, ensuring that students are introduced to the most recent sociological debates. Throughout, the book weaves together classical and contemporary theory and data, and provides a wide range of everyday examples to which students can easily relate. The fifth edition also benefits from: ∗ New discussions of global inequality, disability, ageing and the life course, risk, the network society, and terrorism, as well as many other additional and up–to–date topics. ∗ Numerous learning aids in every chapter, such as summary points, questions for further thought, and additional reading suggestions, which help to reinforce students′ knowledge. ∗ Lots of extra photographs, diagrams, case studies and cartoons, to bring ideas to life and fire students′ imaginations. ∗ High–quality supplementary resources on a dedicated website, including a full instructors′ manual and additional student aids, all specially designed to stimulate students′ learning and critical thinking. The fifth edition of this classic textbook is an ideal teaching text for first–year university and college courses, and will be essential reading for all students who are looking for an exciting, authoritative and easy–to–follow introduction to sociology. Please visit the accompanying website at: http://www.polity.co.uk/giddens5/</t>
  </si>
  <si>
    <t>U4_Q12_T03</t>
  </si>
  <si>
    <t>How Democratic is the American Constitution?</t>
  </si>
  <si>
    <t>Robert A. Dahl</t>
  </si>
  <si>
    <t>The author argues that certain aspects of the American Constitution are deeply flawed and detract from a purely democratic society and includes discussions on the electoral college, the Federalist Papers, and proportional representation.</t>
  </si>
  <si>
    <t>U4_Q12_T04</t>
  </si>
  <si>
    <t>The Role of the Reader</t>
  </si>
  <si>
    <t>Umberto Eco</t>
  </si>
  <si>
    <t>"... not merely interesting and novel, but also exceedingly provocative and heuristically fertile." —The Review of Metaphysics "... essential reading for anyone interesting in... the new reader-centered forms of criticism." —Library Journal In this erudite and imaginative book, Umberto Eco sets forth a dialectic between 'open' and 'closed' texts.</t>
  </si>
  <si>
    <t>U4_Q12_T05</t>
  </si>
  <si>
    <t>Heart Songs and Other Stories</t>
  </si>
  <si>
    <t>Annie Proulx</t>
  </si>
  <si>
    <t>Before she wrote her Pulitzer Prize-winning bestseller The Shipping News, E. Annie Proulx was already producing some of the finest short fiction in the country. Here are her collected stories, including two new works never before anthologized. These stories reverberate with rural tradition, the rites of nature, and the rituals of small-town life. The country is blue-collar New England; the characters are native families and the dispossessed working class, whose heritage is challenged by the neorural bourgeoisie from the city; and the themes are as elemental as the landscape: revenge, malice, greed, passion. Told with skill and profundity and crafted by a master storyteller, these are lean, tough tales of an extraordinary place and its people.</t>
  </si>
  <si>
    <t>v0.28 unseen pool — blind human labeling</t>
  </si>
  <si>
    <t>Purpose</t>
  </si>
  <si>
    <t>Human-label 60 fresh retrieval candidates before any judge output is generated.</t>
  </si>
  <si>
    <t>What you judge</t>
  </si>
  <si>
    <t>Use only the query and supplied title/authors/description on the Labeling sheet.</t>
  </si>
  <si>
    <t>0=no relevance, 1=incidental/weak, 2=partial, 3=clear, 4=very strong/direct.</t>
  </si>
  <si>
    <t>Briefly state which query concepts are supported or missing from the supplied description.</t>
  </si>
  <si>
    <t>Set to LABELLED only after score and reason are final.</t>
  </si>
  <si>
    <t>Blindness</t>
  </si>
  <si>
    <t>Retrieval source/rank is intentionally hidden from the reviewer sheet.</t>
  </si>
  <si>
    <t>Important</t>
  </si>
  <si>
    <t>Do not run the semantic relevance judge before all 60 rows are human-labelled and imported back to CSV.</t>
  </si>
  <si>
    <t>Progress</t>
  </si>
  <si>
    <t>Total cases</t>
  </si>
  <si>
    <t>Labelled</t>
  </si>
  <si>
    <t>Scores entered</t>
  </si>
  <si>
    <t>Completion %</t>
  </si>
  <si>
    <t>query_slice</t>
  </si>
  <si>
    <t>candidate_source</t>
  </si>
  <si>
    <t>sampling_target_rank</t>
  </si>
  <si>
    <t>retrieval_rank</t>
  </si>
  <si>
    <t>isbn13</t>
  </si>
  <si>
    <t>dataset_version</t>
  </si>
  <si>
    <t>rubric_version</t>
  </si>
  <si>
    <t>unseen_pool_v4</t>
  </si>
  <si>
    <t>semantic_retrieval</t>
  </si>
  <si>
    <t>2</t>
  </si>
  <si>
    <t>8</t>
  </si>
  <si>
    <t>9780060652890</t>
  </si>
  <si>
    <t>4.0.0</t>
  </si>
  <si>
    <t>0.1.0</t>
  </si>
  <si>
    <t>10</t>
  </si>
  <si>
    <t>13</t>
  </si>
  <si>
    <t>9780141185910</t>
  </si>
  <si>
    <t>30</t>
  </si>
  <si>
    <t>34</t>
  </si>
  <si>
    <t>9780349100470</t>
  </si>
  <si>
    <t>70</t>
  </si>
  <si>
    <t>73</t>
  </si>
  <si>
    <t>9780679759256</t>
  </si>
  <si>
    <t>random_negative_candidate</t>
  </si>
  <si>
    <t>9780745622088</t>
  </si>
  <si>
    <t>6</t>
  </si>
  <si>
    <t>9780786016051</t>
  </si>
  <si>
    <t>9780142004456</t>
  </si>
  <si>
    <t>33</t>
  </si>
  <si>
    <t>9780553587159</t>
  </si>
  <si>
    <t>9780060786731</t>
  </si>
  <si>
    <t>9781569709085</t>
  </si>
  <si>
    <t>9780141000190</t>
  </si>
  <si>
    <t>9780007195718</t>
  </si>
  <si>
    <t>9780449908402</t>
  </si>
  <si>
    <t>74</t>
  </si>
  <si>
    <t>9780830819713</t>
  </si>
  <si>
    <t>9780520251090</t>
  </si>
  <si>
    <t>9780345431912</t>
  </si>
  <si>
    <t>14</t>
  </si>
  <si>
    <t>9780718132385</t>
  </si>
  <si>
    <t>9781405201711</t>
  </si>
  <si>
    <t>72</t>
  </si>
  <si>
    <t>9780345484109</t>
  </si>
  <si>
    <t>9780879232153</t>
  </si>
  <si>
    <t>9781842122921</t>
  </si>
  <si>
    <t>9780345472458</t>
  </si>
  <si>
    <t>9780719071157</t>
  </si>
  <si>
    <t>9780872864757</t>
  </si>
  <si>
    <t>9780312983864</t>
  </si>
  <si>
    <t>9780061124266</t>
  </si>
  <si>
    <t>9780822012375</t>
  </si>
  <si>
    <t>9780061150142</t>
  </si>
  <si>
    <t>9780471714392</t>
  </si>
  <si>
    <t>9780812505771</t>
  </si>
  <si>
    <t>9780880015080</t>
  </si>
  <si>
    <t>9780679761051</t>
  </si>
  <si>
    <t>9780061122095</t>
  </si>
  <si>
    <t>9780439791403</t>
  </si>
  <si>
    <t>9780439785969</t>
  </si>
  <si>
    <t>9781400077809</t>
  </si>
  <si>
    <t>9781852339463</t>
  </si>
  <si>
    <t>9780786808069</t>
  </si>
  <si>
    <t>9780425181645</t>
  </si>
  <si>
    <t>9780743203043</t>
  </si>
  <si>
    <t>7</t>
  </si>
  <si>
    <t>9780552999953</t>
  </si>
  <si>
    <t>12</t>
  </si>
  <si>
    <t>9780140110876</t>
  </si>
  <si>
    <t>32</t>
  </si>
  <si>
    <t>9780340766187</t>
  </si>
  <si>
    <t>71</t>
  </si>
  <si>
    <t>9781594481529</t>
  </si>
  <si>
    <t>9781400065554</t>
  </si>
  <si>
    <t>9780787968335</t>
  </si>
  <si>
    <t>9780787976385</t>
  </si>
  <si>
    <t>9780130235015</t>
  </si>
  <si>
    <t>9781400079377</t>
  </si>
  <si>
    <t>9780140283358</t>
  </si>
  <si>
    <t>9781423100195</t>
  </si>
  <si>
    <t>15</t>
  </si>
  <si>
    <t>9780140449327</t>
  </si>
  <si>
    <t>9781842931530</t>
  </si>
  <si>
    <t>9780425208915</t>
  </si>
  <si>
    <t>9781561796779</t>
  </si>
  <si>
    <t>9780465016907</t>
  </si>
  <si>
    <t>9780745633794</t>
  </si>
  <si>
    <t>9780300095241</t>
  </si>
  <si>
    <t>75</t>
  </si>
  <si>
    <t>9780253203182</t>
  </si>
  <si>
    <t>9780020360759</t>
  </si>
  <si>
    <t>no match with forgiveness and redemption</t>
  </si>
  <si>
    <t>incidental match with forgiveness and no match with redemption</t>
  </si>
  <si>
    <t>LABELLED</t>
  </si>
  <si>
    <t>strong match with suspenseful story involving crime but investigation is implied rather trhan direct</t>
  </si>
  <si>
    <t>strong match with story involving crime and investigation but suspense is weak</t>
  </si>
  <si>
    <t>direct recommendation</t>
  </si>
  <si>
    <t>No match with a suspenseful story involving crime and investigation</t>
  </si>
  <si>
    <t>No match with personal growth and finding purpose</t>
  </si>
  <si>
    <t>no match with personal growth but good match with finding purpose</t>
  </si>
  <si>
    <t>good match with a fantasy adventure involving journeys but magic and dangerous aspects are missing</t>
  </si>
  <si>
    <t>No match with A fantasy adventure involving magic and dangerous journeys</t>
  </si>
  <si>
    <t>good match with a fantasy adventure involving magic and  journeys but danger aspect is missing</t>
  </si>
  <si>
    <t>fantasy adventure aspect is missing but good match with magic and dangerous journeys</t>
  </si>
  <si>
    <t>good match with a historical book about war but political conflict is missing</t>
  </si>
  <si>
    <t>No match with a historical book about war and political conflict</t>
  </si>
  <si>
    <t>Good match with A moving story about loss, and learning to live again but grief aspect is missing</t>
  </si>
  <si>
    <t>No match with a moving story about grief, loss, and learning to live again</t>
  </si>
  <si>
    <t>good match with a moving story about grief, loss but learning to live again aspect is missing</t>
  </si>
  <si>
    <t>No match with a story about a complicated relationship between a parent and child</t>
  </si>
  <si>
    <t>No match with a beginner-friendly book explaining astronomy and the universe</t>
  </si>
  <si>
    <t>good match with a book explaining astronomy and the universe but beginner-friendly aspect is missing</t>
  </si>
  <si>
    <t>only match with dystopian aspect but authoritarian control and resistance aspects are missing</t>
  </si>
  <si>
    <t>No match with a dystopian story about authoritarian control and resistance</t>
  </si>
  <si>
    <t>weak match with only authoritarian control</t>
  </si>
  <si>
    <t>only match with leadership, no match with teamwork, and building effective organizations</t>
  </si>
  <si>
    <t>only match with building effective organizations , no match with teamwork and leadership</t>
  </si>
  <si>
    <t>No match with a book about leadership, teamwork, and building effective organizations</t>
  </si>
  <si>
    <t>only match with adventure</t>
  </si>
  <si>
    <t>only match with legendary heroes</t>
  </si>
  <si>
    <t>No match for an adventure inspired by mythology, gods, and legendary heroes</t>
  </si>
  <si>
    <t>weak match with mythology, gods</t>
  </si>
  <si>
    <t>No match for a thoughtful book about inequality, poverty, and how society distributes wealth</t>
  </si>
  <si>
    <t>only match with inequality</t>
  </si>
  <si>
    <t>weak match with personal growth and no match with finding purpose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</si>
</sst>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4"/>
      <color rgb="FFFFFFFF"/>
      <name val="Calibri"/>
    </font>
  </fonts>
  <fills count="5">
    <fill>
      <patternFill patternType="none"/>
    </fill>
    <fill>
      <patternFill patternType="gray125"/>
    </fill>
    <fill>
      <patternFill patternType="solid">
        <fgColor rgb="FF1F4E78"/>
      </patternFill>
    </fill>
    <fill>
      <patternFill patternType="solid">
        <fgColor rgb="FFEAF2F8"/>
      </patternFill>
    </fill>
    <fill>
      <patternFill patternType="solid">
        <fgColor rgb="FFFFF2CC"/>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0" fontId="0" fillId="3" borderId="0" xfId="0" applyFill="1" applyAlignment="1">
      <alignment vertical="top" wrapText="1"/>
    </xf>
    <xf numFmtId="0" fontId="0" fillId="4" borderId="0" xfId="0" applyFill="1" applyAlignment="1">
      <alignment vertical="top" wrapText="1"/>
    </xf>
    <xf numFmtId="0" fontId="2" fillId="2" borderId="0" xfId="0" applyFont="1" applyFill="1" applyAlignment="1">
      <alignment vertical="top" wrapText="1"/>
    </xf>
    <xf numFmtId="0" fontId="0" fillId="0" borderId="0" xfId="0" applyAlignment="1">
      <alignment vertical="top" wrapText="1"/>
    </xf>
    <xf numFmtId="9" fontId="0" fillId="0" borderId="0" xfId="0" applyNumberFormat="1" applyAlignment="1">
      <alignment vertical="top" wrapText="1"/>
    </xf>
    <xf numFmtId="0" fontId="1" fillId="2" borderId="0" xfId="0" applyFont="1" applyFill="1"/>
  </cellXfs>
  <cellStyles count="1">
    <cellStyle name="Normal" xfId="0" builtinId="0"/>
  </cellStyles>
  <dxfs count="1">
    <dxf>
      <fill>
        <patternFill patternType="solid">
          <fgColor rgb="FFF4CC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1"/>
  <sheetViews>
    <sheetView tabSelected="1" workbookViewId="0">
      <pane xSplit="3" ySplit="1" topLeftCell="G12" activePane="bottomRight" state="frozen"/>
      <selection pane="topRight"/>
      <selection pane="bottomLeft"/>
      <selection pane="bottomRight" activeCell="H14" sqref="H14"/>
    </sheetView>
  </sheetViews>
  <sheetFormatPr defaultRowHeight="14.4" x14ac:dyDescent="0.3"/>
  <cols>
    <col min="1" max="1" width="16" customWidth="1"/>
    <col min="2" max="2" width="9" customWidth="1"/>
    <col min="3" max="3" width="44" customWidth="1"/>
    <col min="4" max="4" width="34" customWidth="1"/>
    <col min="5" max="5" width="28" customWidth="1"/>
    <col min="6" max="6" width="90" customWidth="1"/>
    <col min="7" max="7" width="13" customWidth="1"/>
    <col min="8" max="8" width="55" customWidth="1"/>
    <col min="9" max="9" width="16" customWidth="1"/>
  </cols>
  <sheetData>
    <row r="1" spans="1:9" x14ac:dyDescent="0.3">
      <c r="A1" s="1" t="s">
        <v>0</v>
      </c>
      <c r="B1" s="1" t="s">
        <v>1</v>
      </c>
      <c r="C1" s="1" t="s">
        <v>2</v>
      </c>
      <c r="D1" s="1" t="s">
        <v>3</v>
      </c>
      <c r="E1" s="1" t="s">
        <v>4</v>
      </c>
      <c r="F1" s="1" t="s">
        <v>5</v>
      </c>
      <c r="G1" s="1" t="s">
        <v>6</v>
      </c>
      <c r="H1" s="1" t="s">
        <v>7</v>
      </c>
      <c r="I1" s="1" t="s">
        <v>8</v>
      </c>
    </row>
    <row r="2" spans="1:9" ht="72" customHeight="1" x14ac:dyDescent="0.3">
      <c r="A2" s="2" t="s">
        <v>9</v>
      </c>
      <c r="B2" s="2" t="s">
        <v>10</v>
      </c>
      <c r="C2" s="2" t="s">
        <v>11</v>
      </c>
      <c r="D2" s="2" t="s">
        <v>12</v>
      </c>
      <c r="E2" s="2" t="s">
        <v>13</v>
      </c>
      <c r="F2" s="2" t="s">
        <v>14</v>
      </c>
      <c r="G2" s="3">
        <v>0</v>
      </c>
      <c r="H2" s="3" t="s">
        <v>381</v>
      </c>
      <c r="I2" s="3" t="s">
        <v>383</v>
      </c>
    </row>
    <row r="3" spans="1:9" ht="72" customHeight="1" x14ac:dyDescent="0.3">
      <c r="A3" s="2" t="s">
        <v>16</v>
      </c>
      <c r="B3" s="2" t="s">
        <v>10</v>
      </c>
      <c r="C3" s="2" t="s">
        <v>11</v>
      </c>
      <c r="D3" s="2" t="s">
        <v>17</v>
      </c>
      <c r="E3" s="2" t="s">
        <v>18</v>
      </c>
      <c r="F3" s="2" t="s">
        <v>19</v>
      </c>
      <c r="G3" s="3">
        <v>0</v>
      </c>
      <c r="H3" s="3" t="s">
        <v>381</v>
      </c>
      <c r="I3" s="3" t="s">
        <v>383</v>
      </c>
    </row>
    <row r="4" spans="1:9" ht="72" customHeight="1" x14ac:dyDescent="0.3">
      <c r="A4" s="2" t="s">
        <v>20</v>
      </c>
      <c r="B4" s="2" t="s">
        <v>10</v>
      </c>
      <c r="C4" s="2" t="s">
        <v>11</v>
      </c>
      <c r="D4" s="2" t="s">
        <v>21</v>
      </c>
      <c r="E4" s="2" t="s">
        <v>22</v>
      </c>
      <c r="F4" s="2" t="s">
        <v>23</v>
      </c>
      <c r="G4" s="3">
        <v>1</v>
      </c>
      <c r="H4" s="3" t="s">
        <v>382</v>
      </c>
      <c r="I4" s="3" t="s">
        <v>383</v>
      </c>
    </row>
    <row r="5" spans="1:9" ht="72" customHeight="1" x14ac:dyDescent="0.3">
      <c r="A5" s="2" t="s">
        <v>24</v>
      </c>
      <c r="B5" s="2" t="s">
        <v>10</v>
      </c>
      <c r="C5" s="2" t="s">
        <v>11</v>
      </c>
      <c r="D5" s="2" t="s">
        <v>25</v>
      </c>
      <c r="E5" s="2" t="s">
        <v>26</v>
      </c>
      <c r="F5" s="2" t="s">
        <v>27</v>
      </c>
      <c r="G5" s="3">
        <v>0</v>
      </c>
      <c r="H5" s="3" t="s">
        <v>381</v>
      </c>
      <c r="I5" s="3" t="s">
        <v>383</v>
      </c>
    </row>
    <row r="6" spans="1:9" ht="72" customHeight="1" x14ac:dyDescent="0.3">
      <c r="A6" s="2" t="s">
        <v>28</v>
      </c>
      <c r="B6" s="2" t="s">
        <v>10</v>
      </c>
      <c r="C6" s="2" t="s">
        <v>11</v>
      </c>
      <c r="D6" s="2" t="s">
        <v>29</v>
      </c>
      <c r="E6" s="2" t="s">
        <v>30</v>
      </c>
      <c r="F6" s="2" t="s">
        <v>31</v>
      </c>
      <c r="G6" s="3">
        <v>0</v>
      </c>
      <c r="H6" s="3" t="s">
        <v>381</v>
      </c>
      <c r="I6" s="3" t="s">
        <v>383</v>
      </c>
    </row>
    <row r="7" spans="1:9" ht="72" customHeight="1" x14ac:dyDescent="0.3">
      <c r="A7" s="2" t="s">
        <v>32</v>
      </c>
      <c r="B7" s="2" t="s">
        <v>33</v>
      </c>
      <c r="C7" s="2" t="s">
        <v>34</v>
      </c>
      <c r="D7" s="2" t="s">
        <v>35</v>
      </c>
      <c r="E7" s="2" t="s">
        <v>36</v>
      </c>
      <c r="F7" s="2" t="s">
        <v>37</v>
      </c>
      <c r="G7" s="3">
        <v>3</v>
      </c>
      <c r="H7" s="3" t="s">
        <v>384</v>
      </c>
      <c r="I7" s="3" t="s">
        <v>383</v>
      </c>
    </row>
    <row r="8" spans="1:9" ht="72" customHeight="1" x14ac:dyDescent="0.3">
      <c r="A8" s="2" t="s">
        <v>38</v>
      </c>
      <c r="B8" s="2" t="s">
        <v>33</v>
      </c>
      <c r="C8" s="2" t="s">
        <v>34</v>
      </c>
      <c r="D8" s="2" t="s">
        <v>39</v>
      </c>
      <c r="E8" s="2" t="s">
        <v>40</v>
      </c>
      <c r="F8" s="2" t="s">
        <v>41</v>
      </c>
      <c r="G8" s="3">
        <v>3</v>
      </c>
      <c r="H8" s="3" t="s">
        <v>385</v>
      </c>
      <c r="I8" s="3" t="s">
        <v>383</v>
      </c>
    </row>
    <row r="9" spans="1:9" ht="72" customHeight="1" x14ac:dyDescent="0.3">
      <c r="A9" s="2" t="s">
        <v>42</v>
      </c>
      <c r="B9" s="2" t="s">
        <v>33</v>
      </c>
      <c r="C9" s="2" t="s">
        <v>34</v>
      </c>
      <c r="D9" s="2" t="s">
        <v>43</v>
      </c>
      <c r="E9" s="2" t="s">
        <v>44</v>
      </c>
      <c r="F9" s="2" t="s">
        <v>45</v>
      </c>
      <c r="G9" s="3">
        <v>4</v>
      </c>
      <c r="H9" s="3" t="s">
        <v>386</v>
      </c>
      <c r="I9" s="3" t="s">
        <v>383</v>
      </c>
    </row>
    <row r="10" spans="1:9" ht="72" customHeight="1" x14ac:dyDescent="0.3">
      <c r="A10" s="2" t="s">
        <v>46</v>
      </c>
      <c r="B10" s="2" t="s">
        <v>33</v>
      </c>
      <c r="C10" s="2" t="s">
        <v>34</v>
      </c>
      <c r="D10" s="2" t="s">
        <v>47</v>
      </c>
      <c r="E10" s="2" t="s">
        <v>48</v>
      </c>
      <c r="F10" s="2" t="s">
        <v>49</v>
      </c>
      <c r="G10" s="3">
        <v>4</v>
      </c>
      <c r="H10" s="3" t="s">
        <v>386</v>
      </c>
      <c r="I10" s="3" t="s">
        <v>383</v>
      </c>
    </row>
    <row r="11" spans="1:9" ht="72" customHeight="1" x14ac:dyDescent="0.3">
      <c r="A11" s="2" t="s">
        <v>50</v>
      </c>
      <c r="B11" s="2" t="s">
        <v>33</v>
      </c>
      <c r="C11" s="2" t="s">
        <v>34</v>
      </c>
      <c r="D11" s="2" t="s">
        <v>51</v>
      </c>
      <c r="E11" s="2" t="s">
        <v>52</v>
      </c>
      <c r="F11" s="2" t="s">
        <v>53</v>
      </c>
      <c r="G11" s="3">
        <v>0</v>
      </c>
      <c r="H11" s="3" t="s">
        <v>387</v>
      </c>
      <c r="I11" s="3" t="s">
        <v>383</v>
      </c>
    </row>
    <row r="12" spans="1:9" ht="72" customHeight="1" x14ac:dyDescent="0.3">
      <c r="A12" s="2" t="s">
        <v>54</v>
      </c>
      <c r="B12" s="2" t="s">
        <v>55</v>
      </c>
      <c r="C12" s="2" t="s">
        <v>56</v>
      </c>
      <c r="D12" s="2" t="s">
        <v>57</v>
      </c>
      <c r="E12" s="2" t="s">
        <v>58</v>
      </c>
      <c r="F12" s="2" t="s">
        <v>59</v>
      </c>
      <c r="G12" s="3">
        <v>0</v>
      </c>
      <c r="H12" s="3" t="s">
        <v>388</v>
      </c>
      <c r="I12" s="3" t="s">
        <v>383</v>
      </c>
    </row>
    <row r="13" spans="1:9" ht="72" customHeight="1" x14ac:dyDescent="0.3">
      <c r="A13" s="2" t="s">
        <v>60</v>
      </c>
      <c r="B13" s="2" t="s">
        <v>55</v>
      </c>
      <c r="C13" s="2" t="s">
        <v>56</v>
      </c>
      <c r="D13" s="2" t="s">
        <v>61</v>
      </c>
      <c r="E13" s="2" t="s">
        <v>62</v>
      </c>
      <c r="F13" s="2" t="s">
        <v>63</v>
      </c>
      <c r="G13" s="3">
        <v>2</v>
      </c>
      <c r="H13" s="3" t="s">
        <v>389</v>
      </c>
      <c r="I13" s="3" t="s">
        <v>383</v>
      </c>
    </row>
    <row r="14" spans="1:9" ht="72" customHeight="1" x14ac:dyDescent="0.3">
      <c r="A14" s="2" t="s">
        <v>64</v>
      </c>
      <c r="B14" s="2" t="s">
        <v>55</v>
      </c>
      <c r="C14" s="2" t="s">
        <v>56</v>
      </c>
      <c r="D14" s="2" t="s">
        <v>65</v>
      </c>
      <c r="E14" s="2" t="s">
        <v>66</v>
      </c>
      <c r="F14" s="2" t="s">
        <v>67</v>
      </c>
      <c r="G14" s="3">
        <v>1</v>
      </c>
      <c r="H14" s="3" t="s">
        <v>414</v>
      </c>
      <c r="I14" s="3" t="s">
        <v>383</v>
      </c>
    </row>
    <row r="15" spans="1:9" ht="72" customHeight="1" x14ac:dyDescent="0.3">
      <c r="A15" s="2" t="s">
        <v>68</v>
      </c>
      <c r="B15" s="2" t="s">
        <v>55</v>
      </c>
      <c r="C15" s="2" t="s">
        <v>56</v>
      </c>
      <c r="D15" s="2" t="s">
        <v>69</v>
      </c>
      <c r="E15" s="2" t="s">
        <v>70</v>
      </c>
      <c r="F15" s="2" t="s">
        <v>71</v>
      </c>
      <c r="G15" s="3">
        <v>0</v>
      </c>
      <c r="H15" s="3" t="s">
        <v>388</v>
      </c>
      <c r="I15" s="3" t="s">
        <v>383</v>
      </c>
    </row>
    <row r="16" spans="1:9" ht="72" customHeight="1" x14ac:dyDescent="0.3">
      <c r="A16" s="2" t="s">
        <v>72</v>
      </c>
      <c r="B16" s="2" t="s">
        <v>55</v>
      </c>
      <c r="C16" s="2" t="s">
        <v>56</v>
      </c>
      <c r="D16" s="2" t="s">
        <v>73</v>
      </c>
      <c r="E16" s="2" t="s">
        <v>74</v>
      </c>
      <c r="F16" s="2" t="s">
        <v>75</v>
      </c>
      <c r="G16" s="3">
        <v>0</v>
      </c>
      <c r="H16" s="3" t="s">
        <v>388</v>
      </c>
      <c r="I16" s="3" t="s">
        <v>383</v>
      </c>
    </row>
    <row r="17" spans="1:9" ht="72" customHeight="1" x14ac:dyDescent="0.3">
      <c r="A17" s="2" t="s">
        <v>76</v>
      </c>
      <c r="B17" s="2" t="s">
        <v>77</v>
      </c>
      <c r="C17" s="2" t="s">
        <v>78</v>
      </c>
      <c r="D17" s="2" t="s">
        <v>79</v>
      </c>
      <c r="E17" s="2" t="s">
        <v>80</v>
      </c>
      <c r="F17" s="2" t="s">
        <v>81</v>
      </c>
      <c r="G17" s="3">
        <v>2</v>
      </c>
      <c r="H17" s="3" t="s">
        <v>390</v>
      </c>
      <c r="I17" s="3" t="s">
        <v>383</v>
      </c>
    </row>
    <row r="18" spans="1:9" ht="72" customHeight="1" x14ac:dyDescent="0.3">
      <c r="A18" s="2" t="s">
        <v>82</v>
      </c>
      <c r="B18" s="2" t="s">
        <v>77</v>
      </c>
      <c r="C18" s="2" t="s">
        <v>78</v>
      </c>
      <c r="D18" s="2" t="s">
        <v>83</v>
      </c>
      <c r="E18" s="2" t="s">
        <v>84</v>
      </c>
      <c r="F18" s="2" t="s">
        <v>85</v>
      </c>
      <c r="G18" s="3">
        <v>0</v>
      </c>
      <c r="H18" s="3" t="s">
        <v>391</v>
      </c>
      <c r="I18" s="3" t="s">
        <v>383</v>
      </c>
    </row>
    <row r="19" spans="1:9" ht="72" customHeight="1" x14ac:dyDescent="0.3">
      <c r="A19" s="2" t="s">
        <v>86</v>
      </c>
      <c r="B19" s="2" t="s">
        <v>77</v>
      </c>
      <c r="C19" s="2" t="s">
        <v>78</v>
      </c>
      <c r="D19" s="2" t="s">
        <v>87</v>
      </c>
      <c r="E19" s="2" t="s">
        <v>88</v>
      </c>
      <c r="F19" s="2" t="s">
        <v>89</v>
      </c>
      <c r="G19" s="3">
        <v>3</v>
      </c>
      <c r="H19" s="3" t="s">
        <v>392</v>
      </c>
      <c r="I19" s="3" t="s">
        <v>383</v>
      </c>
    </row>
    <row r="20" spans="1:9" ht="72" customHeight="1" x14ac:dyDescent="0.3">
      <c r="A20" s="2" t="s">
        <v>90</v>
      </c>
      <c r="B20" s="2" t="s">
        <v>77</v>
      </c>
      <c r="C20" s="2" t="s">
        <v>78</v>
      </c>
      <c r="D20" s="2" t="s">
        <v>91</v>
      </c>
      <c r="E20" s="2" t="s">
        <v>92</v>
      </c>
      <c r="F20" s="2" t="s">
        <v>93</v>
      </c>
      <c r="G20" s="3">
        <v>2</v>
      </c>
      <c r="H20" s="3" t="s">
        <v>393</v>
      </c>
      <c r="I20" s="3" t="s">
        <v>383</v>
      </c>
    </row>
    <row r="21" spans="1:9" ht="72" customHeight="1" x14ac:dyDescent="0.3">
      <c r="A21" s="2" t="s">
        <v>94</v>
      </c>
      <c r="B21" s="2" t="s">
        <v>77</v>
      </c>
      <c r="C21" s="2" t="s">
        <v>78</v>
      </c>
      <c r="D21" s="2" t="s">
        <v>95</v>
      </c>
      <c r="E21" s="2" t="s">
        <v>96</v>
      </c>
      <c r="F21" s="2" t="s">
        <v>97</v>
      </c>
      <c r="G21" s="3">
        <v>0</v>
      </c>
      <c r="H21" s="3" t="s">
        <v>391</v>
      </c>
      <c r="I21" s="3" t="s">
        <v>383</v>
      </c>
    </row>
    <row r="22" spans="1:9" ht="72" customHeight="1" x14ac:dyDescent="0.3">
      <c r="A22" s="2" t="s">
        <v>98</v>
      </c>
      <c r="B22" s="2" t="s">
        <v>99</v>
      </c>
      <c r="C22" s="2" t="s">
        <v>100</v>
      </c>
      <c r="D22" s="2" t="s">
        <v>101</v>
      </c>
      <c r="E22" s="2" t="s">
        <v>102</v>
      </c>
      <c r="F22" s="2" t="s">
        <v>103</v>
      </c>
      <c r="G22" s="3">
        <v>3</v>
      </c>
      <c r="H22" s="3" t="s">
        <v>394</v>
      </c>
      <c r="I22" s="3" t="s">
        <v>383</v>
      </c>
    </row>
    <row r="23" spans="1:9" ht="72" customHeight="1" x14ac:dyDescent="0.3">
      <c r="A23" s="2" t="s">
        <v>104</v>
      </c>
      <c r="B23" s="2" t="s">
        <v>99</v>
      </c>
      <c r="C23" s="2" t="s">
        <v>100</v>
      </c>
      <c r="D23" s="2" t="s">
        <v>105</v>
      </c>
      <c r="E23" s="2" t="s">
        <v>106</v>
      </c>
      <c r="F23" s="2" t="s">
        <v>107</v>
      </c>
      <c r="G23" s="3">
        <v>0</v>
      </c>
      <c r="H23" s="3" t="s">
        <v>395</v>
      </c>
      <c r="I23" s="3" t="s">
        <v>383</v>
      </c>
    </row>
    <row r="24" spans="1:9" ht="72" customHeight="1" x14ac:dyDescent="0.3">
      <c r="A24" s="2" t="s">
        <v>108</v>
      </c>
      <c r="B24" s="2" t="s">
        <v>99</v>
      </c>
      <c r="C24" s="2" t="s">
        <v>100</v>
      </c>
      <c r="D24" s="2" t="s">
        <v>109</v>
      </c>
      <c r="E24" s="2" t="s">
        <v>110</v>
      </c>
      <c r="F24" s="2" t="s">
        <v>111</v>
      </c>
      <c r="G24" s="3">
        <v>0</v>
      </c>
      <c r="H24" s="3" t="s">
        <v>395</v>
      </c>
      <c r="I24" s="3" t="s">
        <v>383</v>
      </c>
    </row>
    <row r="25" spans="1:9" ht="72" customHeight="1" x14ac:dyDescent="0.3">
      <c r="A25" s="2" t="s">
        <v>112</v>
      </c>
      <c r="B25" s="2" t="s">
        <v>99</v>
      </c>
      <c r="C25" s="2" t="s">
        <v>100</v>
      </c>
      <c r="D25" s="2" t="s">
        <v>113</v>
      </c>
      <c r="E25" s="2" t="s">
        <v>114</v>
      </c>
      <c r="F25" s="2" t="s">
        <v>115</v>
      </c>
      <c r="G25" s="3">
        <v>0</v>
      </c>
      <c r="H25" s="3" t="s">
        <v>395</v>
      </c>
      <c r="I25" s="3" t="s">
        <v>383</v>
      </c>
    </row>
    <row r="26" spans="1:9" ht="72" customHeight="1" x14ac:dyDescent="0.3">
      <c r="A26" s="2" t="s">
        <v>116</v>
      </c>
      <c r="B26" s="2" t="s">
        <v>99</v>
      </c>
      <c r="C26" s="2" t="s">
        <v>100</v>
      </c>
      <c r="D26" s="2" t="s">
        <v>117</v>
      </c>
      <c r="E26" s="2" t="s">
        <v>118</v>
      </c>
      <c r="F26" s="2" t="s">
        <v>119</v>
      </c>
      <c r="G26" s="3">
        <v>0</v>
      </c>
      <c r="H26" s="3" t="s">
        <v>395</v>
      </c>
      <c r="I26" s="3" t="s">
        <v>383</v>
      </c>
    </row>
    <row r="27" spans="1:9" ht="72" customHeight="1" x14ac:dyDescent="0.3">
      <c r="A27" s="2" t="s">
        <v>120</v>
      </c>
      <c r="B27" s="2" t="s">
        <v>121</v>
      </c>
      <c r="C27" s="2" t="s">
        <v>122</v>
      </c>
      <c r="D27" s="2" t="s">
        <v>123</v>
      </c>
      <c r="E27" s="2" t="s">
        <v>124</v>
      </c>
      <c r="F27" s="2" t="s">
        <v>125</v>
      </c>
      <c r="G27" s="3">
        <v>2</v>
      </c>
      <c r="H27" s="3" t="s">
        <v>396</v>
      </c>
      <c r="I27" s="3" t="s">
        <v>383</v>
      </c>
    </row>
    <row r="28" spans="1:9" ht="72" customHeight="1" x14ac:dyDescent="0.3">
      <c r="A28" s="2" t="s">
        <v>126</v>
      </c>
      <c r="B28" s="2" t="s">
        <v>121</v>
      </c>
      <c r="C28" s="2" t="s">
        <v>122</v>
      </c>
      <c r="D28" s="2" t="s">
        <v>127</v>
      </c>
      <c r="E28" s="2" t="s">
        <v>128</v>
      </c>
      <c r="F28" s="2" t="s">
        <v>129</v>
      </c>
      <c r="G28" s="3">
        <v>0</v>
      </c>
      <c r="H28" s="3" t="s">
        <v>397</v>
      </c>
      <c r="I28" s="3" t="s">
        <v>383</v>
      </c>
    </row>
    <row r="29" spans="1:9" ht="72" customHeight="1" x14ac:dyDescent="0.3">
      <c r="A29" s="2" t="s">
        <v>130</v>
      </c>
      <c r="B29" s="2" t="s">
        <v>121</v>
      </c>
      <c r="C29" s="2" t="s">
        <v>122</v>
      </c>
      <c r="D29" s="2" t="s">
        <v>131</v>
      </c>
      <c r="E29" s="2" t="s">
        <v>132</v>
      </c>
      <c r="F29" s="2" t="s">
        <v>133</v>
      </c>
      <c r="G29" s="3">
        <v>3</v>
      </c>
      <c r="H29" s="3" t="s">
        <v>398</v>
      </c>
      <c r="I29" s="3" t="s">
        <v>383</v>
      </c>
    </row>
    <row r="30" spans="1:9" ht="72" customHeight="1" x14ac:dyDescent="0.3">
      <c r="A30" s="2" t="s">
        <v>134</v>
      </c>
      <c r="B30" s="2" t="s">
        <v>121</v>
      </c>
      <c r="C30" s="2" t="s">
        <v>122</v>
      </c>
      <c r="D30" s="2" t="s">
        <v>135</v>
      </c>
      <c r="E30" s="2" t="s">
        <v>136</v>
      </c>
      <c r="F30" s="2" t="s">
        <v>137</v>
      </c>
      <c r="G30" s="3">
        <v>0</v>
      </c>
      <c r="H30" s="3" t="s">
        <v>397</v>
      </c>
      <c r="I30" s="3" t="s">
        <v>383</v>
      </c>
    </row>
    <row r="31" spans="1:9" ht="72" customHeight="1" x14ac:dyDescent="0.3">
      <c r="A31" s="2" t="s">
        <v>138</v>
      </c>
      <c r="B31" s="2" t="s">
        <v>121</v>
      </c>
      <c r="C31" s="2" t="s">
        <v>122</v>
      </c>
      <c r="D31" s="2" t="s">
        <v>139</v>
      </c>
      <c r="E31" s="2" t="s">
        <v>140</v>
      </c>
      <c r="F31" s="2" t="s">
        <v>141</v>
      </c>
      <c r="G31" s="3">
        <v>0</v>
      </c>
      <c r="H31" s="3" t="s">
        <v>397</v>
      </c>
      <c r="I31" s="3" t="s">
        <v>383</v>
      </c>
    </row>
    <row r="32" spans="1:9" ht="72" customHeight="1" x14ac:dyDescent="0.3">
      <c r="A32" s="2" t="s">
        <v>142</v>
      </c>
      <c r="B32" s="2" t="s">
        <v>143</v>
      </c>
      <c r="C32" s="2" t="s">
        <v>144</v>
      </c>
      <c r="D32" s="2" t="s">
        <v>145</v>
      </c>
      <c r="E32" s="2" t="s">
        <v>146</v>
      </c>
      <c r="F32" s="2" t="s">
        <v>147</v>
      </c>
      <c r="G32" s="3">
        <v>0</v>
      </c>
      <c r="H32" s="3" t="s">
        <v>399</v>
      </c>
      <c r="I32" s="3" t="s">
        <v>383</v>
      </c>
    </row>
    <row r="33" spans="1:9" ht="72" customHeight="1" x14ac:dyDescent="0.3">
      <c r="A33" s="2" t="s">
        <v>148</v>
      </c>
      <c r="B33" s="2" t="s">
        <v>143</v>
      </c>
      <c r="C33" s="2" t="s">
        <v>144</v>
      </c>
      <c r="D33" s="2" t="s">
        <v>149</v>
      </c>
      <c r="E33" s="2" t="s">
        <v>150</v>
      </c>
      <c r="F33" s="2" t="s">
        <v>151</v>
      </c>
      <c r="G33" s="3">
        <v>0</v>
      </c>
      <c r="H33" s="3" t="s">
        <v>399</v>
      </c>
      <c r="I33" s="3" t="s">
        <v>383</v>
      </c>
    </row>
    <row r="34" spans="1:9" ht="72" customHeight="1" x14ac:dyDescent="0.3">
      <c r="A34" s="2" t="s">
        <v>152</v>
      </c>
      <c r="B34" s="2" t="s">
        <v>143</v>
      </c>
      <c r="C34" s="2" t="s">
        <v>144</v>
      </c>
      <c r="D34" s="2" t="s">
        <v>153</v>
      </c>
      <c r="E34" s="2" t="s">
        <v>124</v>
      </c>
      <c r="F34" s="2" t="s">
        <v>154</v>
      </c>
      <c r="G34" s="3">
        <v>0</v>
      </c>
      <c r="H34" s="3" t="s">
        <v>399</v>
      </c>
      <c r="I34" s="3" t="s">
        <v>383</v>
      </c>
    </row>
    <row r="35" spans="1:9" ht="72" customHeight="1" x14ac:dyDescent="0.3">
      <c r="A35" s="2" t="s">
        <v>155</v>
      </c>
      <c r="B35" s="2" t="s">
        <v>143</v>
      </c>
      <c r="C35" s="2" t="s">
        <v>144</v>
      </c>
      <c r="D35" s="2" t="s">
        <v>156</v>
      </c>
      <c r="E35" s="2" t="s">
        <v>157</v>
      </c>
      <c r="F35" s="2" t="s">
        <v>158</v>
      </c>
      <c r="G35" s="3">
        <v>0</v>
      </c>
      <c r="H35" s="3" t="s">
        <v>399</v>
      </c>
      <c r="I35" s="3" t="s">
        <v>383</v>
      </c>
    </row>
    <row r="36" spans="1:9" ht="72" customHeight="1" x14ac:dyDescent="0.3">
      <c r="A36" s="2" t="s">
        <v>159</v>
      </c>
      <c r="B36" s="2" t="s">
        <v>143</v>
      </c>
      <c r="C36" s="2" t="s">
        <v>144</v>
      </c>
      <c r="D36" s="2" t="s">
        <v>160</v>
      </c>
      <c r="E36" s="2" t="s">
        <v>161</v>
      </c>
      <c r="F36" s="2" t="s">
        <v>162</v>
      </c>
      <c r="G36" s="3">
        <v>0</v>
      </c>
      <c r="H36" s="3" t="s">
        <v>399</v>
      </c>
      <c r="I36" s="3" t="s">
        <v>383</v>
      </c>
    </row>
    <row r="37" spans="1:9" ht="72" customHeight="1" x14ac:dyDescent="0.3">
      <c r="A37" s="2" t="s">
        <v>163</v>
      </c>
      <c r="B37" s="2" t="s">
        <v>164</v>
      </c>
      <c r="C37" s="2" t="s">
        <v>165</v>
      </c>
      <c r="D37" s="2" t="s">
        <v>166</v>
      </c>
      <c r="E37" s="2" t="s">
        <v>167</v>
      </c>
      <c r="F37" s="2" t="s">
        <v>168</v>
      </c>
      <c r="G37" s="3">
        <v>0</v>
      </c>
      <c r="H37" s="3" t="s">
        <v>400</v>
      </c>
      <c r="I37" s="3" t="s">
        <v>383</v>
      </c>
    </row>
    <row r="38" spans="1:9" ht="72" customHeight="1" x14ac:dyDescent="0.3">
      <c r="A38" s="2" t="s">
        <v>169</v>
      </c>
      <c r="B38" s="2" t="s">
        <v>164</v>
      </c>
      <c r="C38" s="2" t="s">
        <v>165</v>
      </c>
      <c r="D38" s="2" t="s">
        <v>170</v>
      </c>
      <c r="E38" s="2" t="s">
        <v>171</v>
      </c>
      <c r="F38" s="2" t="s">
        <v>172</v>
      </c>
      <c r="G38" s="3">
        <v>3</v>
      </c>
      <c r="H38" s="3" t="s">
        <v>401</v>
      </c>
      <c r="I38" s="3" t="s">
        <v>383</v>
      </c>
    </row>
    <row r="39" spans="1:9" ht="72" customHeight="1" x14ac:dyDescent="0.3">
      <c r="A39" s="2" t="s">
        <v>173</v>
      </c>
      <c r="B39" s="2" t="s">
        <v>164</v>
      </c>
      <c r="C39" s="2" t="s">
        <v>165</v>
      </c>
      <c r="D39" s="2" t="s">
        <v>174</v>
      </c>
      <c r="E39" s="2" t="s">
        <v>175</v>
      </c>
      <c r="F39" s="2" t="s">
        <v>176</v>
      </c>
      <c r="G39" s="3">
        <v>0</v>
      </c>
      <c r="H39" s="3" t="s">
        <v>400</v>
      </c>
      <c r="I39" s="3" t="s">
        <v>383</v>
      </c>
    </row>
    <row r="40" spans="1:9" ht="72" customHeight="1" x14ac:dyDescent="0.3">
      <c r="A40" s="2" t="s">
        <v>177</v>
      </c>
      <c r="B40" s="2" t="s">
        <v>164</v>
      </c>
      <c r="C40" s="2" t="s">
        <v>165</v>
      </c>
      <c r="D40" s="2" t="s">
        <v>178</v>
      </c>
      <c r="E40" s="2" t="s">
        <v>179</v>
      </c>
      <c r="F40" s="2" t="s">
        <v>180</v>
      </c>
      <c r="G40" s="3">
        <v>0</v>
      </c>
      <c r="H40" s="3" t="s">
        <v>400</v>
      </c>
      <c r="I40" s="3" t="s">
        <v>383</v>
      </c>
    </row>
    <row r="41" spans="1:9" ht="72" customHeight="1" x14ac:dyDescent="0.3">
      <c r="A41" s="2" t="s">
        <v>181</v>
      </c>
      <c r="B41" s="2" t="s">
        <v>164</v>
      </c>
      <c r="C41" s="2" t="s">
        <v>165</v>
      </c>
      <c r="D41" s="2" t="s">
        <v>182</v>
      </c>
      <c r="E41" s="2" t="s">
        <v>183</v>
      </c>
      <c r="F41" s="2" t="s">
        <v>184</v>
      </c>
      <c r="G41" s="3">
        <v>0</v>
      </c>
      <c r="H41" s="3" t="s">
        <v>400</v>
      </c>
      <c r="I41" s="3" t="s">
        <v>383</v>
      </c>
    </row>
    <row r="42" spans="1:9" ht="72" customHeight="1" x14ac:dyDescent="0.3">
      <c r="A42" s="2" t="s">
        <v>185</v>
      </c>
      <c r="B42" s="2" t="s">
        <v>186</v>
      </c>
      <c r="C42" s="2" t="s">
        <v>187</v>
      </c>
      <c r="D42" s="2" t="s">
        <v>188</v>
      </c>
      <c r="E42" s="2" t="s">
        <v>189</v>
      </c>
      <c r="F42" s="2" t="s">
        <v>190</v>
      </c>
      <c r="G42" s="3">
        <v>2</v>
      </c>
      <c r="H42" s="3" t="s">
        <v>402</v>
      </c>
      <c r="I42" s="3" t="s">
        <v>383</v>
      </c>
    </row>
    <row r="43" spans="1:9" ht="72" customHeight="1" x14ac:dyDescent="0.3">
      <c r="A43" s="2" t="s">
        <v>191</v>
      </c>
      <c r="B43" s="2" t="s">
        <v>186</v>
      </c>
      <c r="C43" s="2" t="s">
        <v>187</v>
      </c>
      <c r="D43" s="2" t="s">
        <v>192</v>
      </c>
      <c r="E43" s="2" t="s">
        <v>193</v>
      </c>
      <c r="F43" s="2" t="s">
        <v>194</v>
      </c>
      <c r="G43" s="3">
        <v>0</v>
      </c>
      <c r="H43" s="3" t="s">
        <v>403</v>
      </c>
      <c r="I43" s="3" t="s">
        <v>383</v>
      </c>
    </row>
    <row r="44" spans="1:9" ht="72" customHeight="1" x14ac:dyDescent="0.3">
      <c r="A44" s="2" t="s">
        <v>195</v>
      </c>
      <c r="B44" s="2" t="s">
        <v>186</v>
      </c>
      <c r="C44" s="2" t="s">
        <v>187</v>
      </c>
      <c r="D44" s="2" t="s">
        <v>196</v>
      </c>
      <c r="E44" s="2" t="s">
        <v>197</v>
      </c>
      <c r="F44" s="2" t="s">
        <v>198</v>
      </c>
      <c r="G44" s="3">
        <v>0</v>
      </c>
      <c r="H44" s="3" t="s">
        <v>403</v>
      </c>
      <c r="I44" s="3" t="s">
        <v>383</v>
      </c>
    </row>
    <row r="45" spans="1:9" ht="72" customHeight="1" x14ac:dyDescent="0.3">
      <c r="A45" s="2" t="s">
        <v>199</v>
      </c>
      <c r="B45" s="2" t="s">
        <v>186</v>
      </c>
      <c r="C45" s="2" t="s">
        <v>187</v>
      </c>
      <c r="D45" s="2" t="s">
        <v>200</v>
      </c>
      <c r="E45" s="2" t="s">
        <v>201</v>
      </c>
      <c r="F45" s="2" t="s">
        <v>202</v>
      </c>
      <c r="G45" s="3">
        <v>1</v>
      </c>
      <c r="H45" s="3" t="s">
        <v>404</v>
      </c>
      <c r="I45" s="3" t="s">
        <v>383</v>
      </c>
    </row>
    <row r="46" spans="1:9" ht="72" customHeight="1" x14ac:dyDescent="0.3">
      <c r="A46" s="2" t="s">
        <v>203</v>
      </c>
      <c r="B46" s="2" t="s">
        <v>186</v>
      </c>
      <c r="C46" s="2" t="s">
        <v>187</v>
      </c>
      <c r="D46" s="2" t="s">
        <v>204</v>
      </c>
      <c r="E46" s="2" t="s">
        <v>205</v>
      </c>
      <c r="F46" s="2" t="s">
        <v>206</v>
      </c>
      <c r="G46" s="3">
        <v>0</v>
      </c>
      <c r="H46" s="3" t="s">
        <v>403</v>
      </c>
      <c r="I46" s="3" t="s">
        <v>383</v>
      </c>
    </row>
    <row r="47" spans="1:9" ht="72" customHeight="1" x14ac:dyDescent="0.3">
      <c r="A47" s="2" t="s">
        <v>207</v>
      </c>
      <c r="B47" s="2" t="s">
        <v>208</v>
      </c>
      <c r="C47" s="2" t="s">
        <v>209</v>
      </c>
      <c r="D47" s="2" t="s">
        <v>210</v>
      </c>
      <c r="E47" s="2" t="s">
        <v>211</v>
      </c>
      <c r="F47" s="2" t="s">
        <v>212</v>
      </c>
      <c r="G47" s="3">
        <v>2</v>
      </c>
      <c r="H47" s="3" t="s">
        <v>405</v>
      </c>
      <c r="I47" s="3" t="s">
        <v>383</v>
      </c>
    </row>
    <row r="48" spans="1:9" ht="72" customHeight="1" x14ac:dyDescent="0.3">
      <c r="A48" s="2" t="s">
        <v>213</v>
      </c>
      <c r="B48" s="2" t="s">
        <v>208</v>
      </c>
      <c r="C48" s="2" t="s">
        <v>209</v>
      </c>
      <c r="D48" s="2" t="s">
        <v>214</v>
      </c>
      <c r="E48" s="2" t="s">
        <v>215</v>
      </c>
      <c r="F48" s="2" t="s">
        <v>216</v>
      </c>
      <c r="G48" s="3">
        <v>2</v>
      </c>
      <c r="H48" s="3" t="s">
        <v>406</v>
      </c>
      <c r="I48" s="3" t="s">
        <v>383</v>
      </c>
    </row>
    <row r="49" spans="1:9" ht="72" customHeight="1" x14ac:dyDescent="0.3">
      <c r="A49" s="2" t="s">
        <v>217</v>
      </c>
      <c r="B49" s="2" t="s">
        <v>208</v>
      </c>
      <c r="C49" s="2" t="s">
        <v>209</v>
      </c>
      <c r="D49" s="2" t="s">
        <v>218</v>
      </c>
      <c r="E49" s="2" t="s">
        <v>219</v>
      </c>
      <c r="F49" s="2" t="s">
        <v>220</v>
      </c>
      <c r="G49" s="3">
        <v>0</v>
      </c>
      <c r="H49" s="3" t="s">
        <v>407</v>
      </c>
      <c r="I49" s="3" t="s">
        <v>383</v>
      </c>
    </row>
    <row r="50" spans="1:9" ht="72" customHeight="1" x14ac:dyDescent="0.3">
      <c r="A50" s="2" t="s">
        <v>221</v>
      </c>
      <c r="B50" s="2" t="s">
        <v>208</v>
      </c>
      <c r="C50" s="2" t="s">
        <v>209</v>
      </c>
      <c r="D50" s="2" t="s">
        <v>222</v>
      </c>
      <c r="E50" s="2" t="s">
        <v>223</v>
      </c>
      <c r="F50" s="2" t="s">
        <v>224</v>
      </c>
      <c r="G50" s="3">
        <v>0</v>
      </c>
      <c r="H50" s="3" t="s">
        <v>407</v>
      </c>
      <c r="I50" s="3" t="s">
        <v>383</v>
      </c>
    </row>
    <row r="51" spans="1:9" ht="72" customHeight="1" x14ac:dyDescent="0.3">
      <c r="A51" s="2" t="s">
        <v>225</v>
      </c>
      <c r="B51" s="2" t="s">
        <v>208</v>
      </c>
      <c r="C51" s="2" t="s">
        <v>209</v>
      </c>
      <c r="D51" s="2" t="s">
        <v>226</v>
      </c>
      <c r="E51" s="2" t="s">
        <v>227</v>
      </c>
      <c r="F51" s="2" t="s">
        <v>228</v>
      </c>
      <c r="G51" s="3">
        <v>0</v>
      </c>
      <c r="H51" s="3" t="s">
        <v>407</v>
      </c>
      <c r="I51" s="3" t="s">
        <v>383</v>
      </c>
    </row>
    <row r="52" spans="1:9" ht="72" customHeight="1" x14ac:dyDescent="0.3">
      <c r="A52" s="2" t="s">
        <v>229</v>
      </c>
      <c r="B52" s="2" t="s">
        <v>230</v>
      </c>
      <c r="C52" s="2" t="s">
        <v>231</v>
      </c>
      <c r="D52" s="2" t="s">
        <v>232</v>
      </c>
      <c r="E52" s="2" t="s">
        <v>233</v>
      </c>
      <c r="F52" s="2" t="s">
        <v>234</v>
      </c>
      <c r="G52" s="3">
        <v>1</v>
      </c>
      <c r="H52" s="3" t="s">
        <v>408</v>
      </c>
      <c r="I52" s="3" t="s">
        <v>383</v>
      </c>
    </row>
    <row r="53" spans="1:9" ht="72" customHeight="1" x14ac:dyDescent="0.3">
      <c r="A53" s="2" t="s">
        <v>235</v>
      </c>
      <c r="B53" s="2" t="s">
        <v>230</v>
      </c>
      <c r="C53" s="2" t="s">
        <v>231</v>
      </c>
      <c r="D53" s="2" t="s">
        <v>236</v>
      </c>
      <c r="E53" s="2" t="s">
        <v>237</v>
      </c>
      <c r="F53" s="2" t="s">
        <v>238</v>
      </c>
      <c r="G53" s="3">
        <v>1</v>
      </c>
      <c r="H53" s="3" t="s">
        <v>409</v>
      </c>
      <c r="I53" s="3" t="s">
        <v>383</v>
      </c>
    </row>
    <row r="54" spans="1:9" ht="72" customHeight="1" x14ac:dyDescent="0.3">
      <c r="A54" s="2" t="s">
        <v>239</v>
      </c>
      <c r="B54" s="2" t="s">
        <v>230</v>
      </c>
      <c r="C54" s="2" t="s">
        <v>231</v>
      </c>
      <c r="D54" s="2" t="s">
        <v>240</v>
      </c>
      <c r="E54" s="2" t="s">
        <v>241</v>
      </c>
      <c r="F54" s="2" t="s">
        <v>242</v>
      </c>
      <c r="G54" s="3">
        <v>0</v>
      </c>
      <c r="H54" s="3" t="s">
        <v>410</v>
      </c>
      <c r="I54" s="3" t="s">
        <v>383</v>
      </c>
    </row>
    <row r="55" spans="1:9" ht="72" customHeight="1" x14ac:dyDescent="0.3">
      <c r="A55" s="2" t="s">
        <v>243</v>
      </c>
      <c r="B55" s="2" t="s">
        <v>230</v>
      </c>
      <c r="C55" s="2" t="s">
        <v>231</v>
      </c>
      <c r="D55" s="2" t="s">
        <v>244</v>
      </c>
      <c r="E55" s="2" t="s">
        <v>245</v>
      </c>
      <c r="F55" s="2" t="s">
        <v>246</v>
      </c>
      <c r="G55" s="3">
        <v>1</v>
      </c>
      <c r="H55" s="3" t="s">
        <v>411</v>
      </c>
      <c r="I55" s="3" t="s">
        <v>383</v>
      </c>
    </row>
    <row r="56" spans="1:9" ht="72" customHeight="1" x14ac:dyDescent="0.3">
      <c r="A56" s="2" t="s">
        <v>247</v>
      </c>
      <c r="B56" s="2" t="s">
        <v>230</v>
      </c>
      <c r="C56" s="2" t="s">
        <v>231</v>
      </c>
      <c r="D56" s="2" t="s">
        <v>248</v>
      </c>
      <c r="E56" s="2" t="s">
        <v>249</v>
      </c>
      <c r="F56" s="2" t="s">
        <v>250</v>
      </c>
      <c r="G56" s="3">
        <v>0</v>
      </c>
      <c r="H56" s="3" t="s">
        <v>410</v>
      </c>
      <c r="I56" s="3" t="s">
        <v>383</v>
      </c>
    </row>
    <row r="57" spans="1:9" ht="72" customHeight="1" x14ac:dyDescent="0.3">
      <c r="A57" s="2" t="s">
        <v>251</v>
      </c>
      <c r="B57" s="2" t="s">
        <v>252</v>
      </c>
      <c r="C57" s="2" t="s">
        <v>253</v>
      </c>
      <c r="D57" s="2" t="s">
        <v>254</v>
      </c>
      <c r="E57" s="2" t="s">
        <v>255</v>
      </c>
      <c r="F57" s="2" t="s">
        <v>256</v>
      </c>
      <c r="G57" s="3">
        <v>0</v>
      </c>
      <c r="H57" s="3" t="s">
        <v>412</v>
      </c>
      <c r="I57" s="3" t="s">
        <v>383</v>
      </c>
    </row>
    <row r="58" spans="1:9" ht="72" customHeight="1" x14ac:dyDescent="0.3">
      <c r="A58" s="2" t="s">
        <v>257</v>
      </c>
      <c r="B58" s="2" t="s">
        <v>252</v>
      </c>
      <c r="C58" s="2" t="s">
        <v>253</v>
      </c>
      <c r="D58" s="2" t="s">
        <v>258</v>
      </c>
      <c r="E58" s="2" t="s">
        <v>259</v>
      </c>
      <c r="F58" s="2" t="s">
        <v>260</v>
      </c>
      <c r="G58" s="3">
        <v>2</v>
      </c>
      <c r="H58" s="3" t="s">
        <v>413</v>
      </c>
      <c r="I58" s="3" t="s">
        <v>383</v>
      </c>
    </row>
    <row r="59" spans="1:9" ht="72" customHeight="1" x14ac:dyDescent="0.3">
      <c r="A59" s="2" t="s">
        <v>261</v>
      </c>
      <c r="B59" s="2" t="s">
        <v>252</v>
      </c>
      <c r="C59" s="2" t="s">
        <v>253</v>
      </c>
      <c r="D59" s="2" t="s">
        <v>262</v>
      </c>
      <c r="E59" s="2" t="s">
        <v>263</v>
      </c>
      <c r="F59" s="2" t="s">
        <v>264</v>
      </c>
      <c r="G59" s="3">
        <v>0</v>
      </c>
      <c r="H59" s="3" t="s">
        <v>412</v>
      </c>
      <c r="I59" s="3" t="s">
        <v>383</v>
      </c>
    </row>
    <row r="60" spans="1:9" ht="72" customHeight="1" x14ac:dyDescent="0.3">
      <c r="A60" s="2" t="s">
        <v>265</v>
      </c>
      <c r="B60" s="2" t="s">
        <v>252</v>
      </c>
      <c r="C60" s="2" t="s">
        <v>253</v>
      </c>
      <c r="D60" s="2" t="s">
        <v>266</v>
      </c>
      <c r="E60" s="2" t="s">
        <v>267</v>
      </c>
      <c r="F60" s="2" t="s">
        <v>268</v>
      </c>
      <c r="G60" s="3">
        <v>0</v>
      </c>
      <c r="H60" s="3" t="s">
        <v>412</v>
      </c>
      <c r="I60" s="3" t="s">
        <v>383</v>
      </c>
    </row>
    <row r="61" spans="1:9" ht="72" customHeight="1" x14ac:dyDescent="0.3">
      <c r="A61" s="2" t="s">
        <v>269</v>
      </c>
      <c r="B61" s="2" t="s">
        <v>252</v>
      </c>
      <c r="C61" s="2" t="s">
        <v>253</v>
      </c>
      <c r="D61" s="2" t="s">
        <v>270</v>
      </c>
      <c r="E61" s="2" t="s">
        <v>271</v>
      </c>
      <c r="F61" s="2" t="s">
        <v>272</v>
      </c>
      <c r="G61" s="3">
        <v>0</v>
      </c>
      <c r="H61" s="3" t="s">
        <v>412</v>
      </c>
      <c r="I61" s="3" t="s">
        <v>383</v>
      </c>
    </row>
  </sheetData>
  <autoFilter ref="A1:I61" xr:uid="{00000000-0009-0000-0000-000000000000}"/>
  <conditionalFormatting sqref="A2:I61">
    <cfRule type="expression" dxfId="0" priority="1">
      <formula>AND($I2="LABELLED",OR($G2="",$H2=""))</formula>
    </cfRule>
  </conditionalFormatting>
  <dataValidations count="2">
    <dataValidation type="list" allowBlank="1" sqref="G2:G61" xr:uid="{00000000-0002-0000-0000-000000000000}">
      <formula1>"0,1,2,3,4"</formula1>
    </dataValidation>
    <dataValidation type="list" sqref="I2:I61" xr:uid="{00000000-0002-0000-0000-000001000000}">
      <formula1>"UNREVIEWED,LABELLED"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workbookViewId="0"/>
  </sheetViews>
  <sheetFormatPr defaultRowHeight="14.4" x14ac:dyDescent="0.3"/>
  <cols>
    <col min="1" max="1" width="22" customWidth="1"/>
    <col min="2" max="2" width="100" customWidth="1"/>
  </cols>
  <sheetData>
    <row r="1" spans="1:2" ht="54" x14ac:dyDescent="0.3">
      <c r="A1" s="4" t="s">
        <v>273</v>
      </c>
      <c r="B1" s="5"/>
    </row>
    <row r="2" spans="1:2" x14ac:dyDescent="0.3">
      <c r="A2" s="5" t="s">
        <v>274</v>
      </c>
      <c r="B2" s="5" t="s">
        <v>275</v>
      </c>
    </row>
    <row r="3" spans="1:2" x14ac:dyDescent="0.3">
      <c r="A3" s="5" t="s">
        <v>276</v>
      </c>
      <c r="B3" s="5" t="s">
        <v>277</v>
      </c>
    </row>
    <row r="4" spans="1:2" x14ac:dyDescent="0.3">
      <c r="A4" s="5" t="s">
        <v>6</v>
      </c>
      <c r="B4" s="5" t="s">
        <v>278</v>
      </c>
    </row>
    <row r="5" spans="1:2" x14ac:dyDescent="0.3">
      <c r="A5" s="5" t="s">
        <v>7</v>
      </c>
      <c r="B5" s="5" t="s">
        <v>279</v>
      </c>
    </row>
    <row r="6" spans="1:2" x14ac:dyDescent="0.3">
      <c r="A6" s="5" t="s">
        <v>8</v>
      </c>
      <c r="B6" s="5" t="s">
        <v>280</v>
      </c>
    </row>
    <row r="7" spans="1:2" x14ac:dyDescent="0.3">
      <c r="A7" s="5" t="s">
        <v>281</v>
      </c>
      <c r="B7" s="5" t="s">
        <v>282</v>
      </c>
    </row>
    <row r="8" spans="1:2" x14ac:dyDescent="0.3">
      <c r="A8" s="5" t="s">
        <v>283</v>
      </c>
      <c r="B8" s="5" t="s">
        <v>284</v>
      </c>
    </row>
    <row r="9" spans="1:2" x14ac:dyDescent="0.3">
      <c r="A9" s="5"/>
      <c r="B9" s="5"/>
    </row>
    <row r="10" spans="1:2" x14ac:dyDescent="0.3">
      <c r="A10" s="5" t="s">
        <v>285</v>
      </c>
      <c r="B10" s="5"/>
    </row>
    <row r="11" spans="1:2" x14ac:dyDescent="0.3">
      <c r="A11" s="5" t="s">
        <v>286</v>
      </c>
      <c r="B11" s="5">
        <v>60</v>
      </c>
    </row>
    <row r="12" spans="1:2" x14ac:dyDescent="0.3">
      <c r="A12" s="5" t="s">
        <v>287</v>
      </c>
      <c r="B12" s="5">
        <f>COUNTIF(Labeling!I2:I61,"LABELLED")</f>
        <v>60</v>
      </c>
    </row>
    <row r="13" spans="1:2" x14ac:dyDescent="0.3">
      <c r="A13" s="5" t="s">
        <v>288</v>
      </c>
      <c r="B13" s="5">
        <f>COUNT(Labeling!G2:G61)</f>
        <v>60</v>
      </c>
    </row>
    <row r="14" spans="1:2" x14ac:dyDescent="0.3">
      <c r="A14" s="5" t="s">
        <v>289</v>
      </c>
      <c r="B14" s="6">
        <f>B12/B11</f>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61"/>
  <sheetViews>
    <sheetView workbookViewId="0">
      <pane ySplit="1" topLeftCell="A2" activePane="bottomLeft" state="frozen"/>
      <selection pane="bottomLeft"/>
    </sheetView>
  </sheetViews>
  <sheetFormatPr defaultRowHeight="14.4" x14ac:dyDescent="0.3"/>
  <sheetData>
    <row r="1" spans="1:16" x14ac:dyDescent="0.3">
      <c r="A1" s="7" t="s">
        <v>0</v>
      </c>
      <c r="B1" s="7" t="s">
        <v>1</v>
      </c>
      <c r="C1" s="7" t="s">
        <v>2</v>
      </c>
      <c r="D1" s="7" t="s">
        <v>290</v>
      </c>
      <c r="E1" s="7" t="s">
        <v>291</v>
      </c>
      <c r="F1" s="7" t="s">
        <v>292</v>
      </c>
      <c r="G1" s="7" t="s">
        <v>293</v>
      </c>
      <c r="H1" s="7" t="s">
        <v>294</v>
      </c>
      <c r="I1" s="7" t="s">
        <v>3</v>
      </c>
      <c r="J1" s="7" t="s">
        <v>4</v>
      </c>
      <c r="K1" s="7" t="s">
        <v>5</v>
      </c>
      <c r="L1" s="7" t="s">
        <v>295</v>
      </c>
      <c r="M1" s="7" t="s">
        <v>296</v>
      </c>
      <c r="N1" s="7" t="s">
        <v>6</v>
      </c>
      <c r="O1" s="7" t="s">
        <v>7</v>
      </c>
      <c r="P1" s="7" t="s">
        <v>8</v>
      </c>
    </row>
    <row r="2" spans="1:16" x14ac:dyDescent="0.3">
      <c r="A2" t="s">
        <v>9</v>
      </c>
      <c r="B2" t="s">
        <v>10</v>
      </c>
      <c r="C2" t="s">
        <v>11</v>
      </c>
      <c r="D2" t="s">
        <v>297</v>
      </c>
      <c r="E2" t="s">
        <v>298</v>
      </c>
      <c r="F2" t="s">
        <v>299</v>
      </c>
      <c r="G2" t="s">
        <v>300</v>
      </c>
      <c r="H2" t="s">
        <v>301</v>
      </c>
      <c r="I2" t="s">
        <v>12</v>
      </c>
      <c r="J2" t="s">
        <v>13</v>
      </c>
      <c r="K2" t="s">
        <v>14</v>
      </c>
      <c r="L2" t="s">
        <v>302</v>
      </c>
      <c r="M2" t="s">
        <v>303</v>
      </c>
      <c r="P2" t="s">
        <v>15</v>
      </c>
    </row>
    <row r="3" spans="1:16" x14ac:dyDescent="0.3">
      <c r="A3" t="s">
        <v>16</v>
      </c>
      <c r="B3" t="s">
        <v>10</v>
      </c>
      <c r="C3" t="s">
        <v>11</v>
      </c>
      <c r="D3" t="s">
        <v>297</v>
      </c>
      <c r="E3" t="s">
        <v>298</v>
      </c>
      <c r="F3" t="s">
        <v>304</v>
      </c>
      <c r="G3" t="s">
        <v>305</v>
      </c>
      <c r="H3" t="s">
        <v>306</v>
      </c>
      <c r="I3" t="s">
        <v>17</v>
      </c>
      <c r="J3" t="s">
        <v>18</v>
      </c>
      <c r="K3" t="s">
        <v>19</v>
      </c>
      <c r="L3" t="s">
        <v>302</v>
      </c>
      <c r="M3" t="s">
        <v>303</v>
      </c>
      <c r="P3" t="s">
        <v>15</v>
      </c>
    </row>
    <row r="4" spans="1:16" x14ac:dyDescent="0.3">
      <c r="A4" t="s">
        <v>20</v>
      </c>
      <c r="B4" t="s">
        <v>10</v>
      </c>
      <c r="C4" t="s">
        <v>11</v>
      </c>
      <c r="D4" t="s">
        <v>297</v>
      </c>
      <c r="E4" t="s">
        <v>298</v>
      </c>
      <c r="F4" t="s">
        <v>307</v>
      </c>
      <c r="G4" t="s">
        <v>308</v>
      </c>
      <c r="H4" t="s">
        <v>309</v>
      </c>
      <c r="I4" t="s">
        <v>21</v>
      </c>
      <c r="J4" t="s">
        <v>22</v>
      </c>
      <c r="K4" t="s">
        <v>23</v>
      </c>
      <c r="L4" t="s">
        <v>302</v>
      </c>
      <c r="M4" t="s">
        <v>303</v>
      </c>
      <c r="P4" t="s">
        <v>15</v>
      </c>
    </row>
    <row r="5" spans="1:16" x14ac:dyDescent="0.3">
      <c r="A5" t="s">
        <v>24</v>
      </c>
      <c r="B5" t="s">
        <v>10</v>
      </c>
      <c r="C5" t="s">
        <v>11</v>
      </c>
      <c r="D5" t="s">
        <v>297</v>
      </c>
      <c r="E5" t="s">
        <v>298</v>
      </c>
      <c r="F5" t="s">
        <v>310</v>
      </c>
      <c r="G5" t="s">
        <v>311</v>
      </c>
      <c r="H5" t="s">
        <v>312</v>
      </c>
      <c r="I5" t="s">
        <v>25</v>
      </c>
      <c r="J5" t="s">
        <v>26</v>
      </c>
      <c r="K5" t="s">
        <v>27</v>
      </c>
      <c r="L5" t="s">
        <v>302</v>
      </c>
      <c r="M5" t="s">
        <v>303</v>
      </c>
      <c r="P5" t="s">
        <v>15</v>
      </c>
    </row>
    <row r="6" spans="1:16" x14ac:dyDescent="0.3">
      <c r="A6" t="s">
        <v>28</v>
      </c>
      <c r="B6" t="s">
        <v>10</v>
      </c>
      <c r="C6" t="s">
        <v>11</v>
      </c>
      <c r="D6" t="s">
        <v>297</v>
      </c>
      <c r="E6" t="s">
        <v>313</v>
      </c>
      <c r="H6" t="s">
        <v>314</v>
      </c>
      <c r="I6" t="s">
        <v>29</v>
      </c>
      <c r="J6" t="s">
        <v>30</v>
      </c>
      <c r="K6" t="s">
        <v>31</v>
      </c>
      <c r="L6" t="s">
        <v>302</v>
      </c>
      <c r="M6" t="s">
        <v>303</v>
      </c>
      <c r="P6" t="s">
        <v>15</v>
      </c>
    </row>
    <row r="7" spans="1:16" x14ac:dyDescent="0.3">
      <c r="A7" t="s">
        <v>32</v>
      </c>
      <c r="B7" t="s">
        <v>33</v>
      </c>
      <c r="C7" t="s">
        <v>34</v>
      </c>
      <c r="D7" t="s">
        <v>297</v>
      </c>
      <c r="E7" t="s">
        <v>298</v>
      </c>
      <c r="F7" t="s">
        <v>299</v>
      </c>
      <c r="G7" t="s">
        <v>315</v>
      </c>
      <c r="H7" t="s">
        <v>316</v>
      </c>
      <c r="I7" t="s">
        <v>35</v>
      </c>
      <c r="J7" t="s">
        <v>36</v>
      </c>
      <c r="K7" t="s">
        <v>37</v>
      </c>
      <c r="L7" t="s">
        <v>302</v>
      </c>
      <c r="M7" t="s">
        <v>303</v>
      </c>
      <c r="P7" t="s">
        <v>15</v>
      </c>
    </row>
    <row r="8" spans="1:16" x14ac:dyDescent="0.3">
      <c r="A8" t="s">
        <v>38</v>
      </c>
      <c r="B8" t="s">
        <v>33</v>
      </c>
      <c r="C8" t="s">
        <v>34</v>
      </c>
      <c r="D8" t="s">
        <v>297</v>
      </c>
      <c r="E8" t="s">
        <v>298</v>
      </c>
      <c r="F8" t="s">
        <v>304</v>
      </c>
      <c r="G8" t="s">
        <v>305</v>
      </c>
      <c r="H8" t="s">
        <v>317</v>
      </c>
      <c r="I8" t="s">
        <v>39</v>
      </c>
      <c r="J8" t="s">
        <v>40</v>
      </c>
      <c r="K8" t="s">
        <v>41</v>
      </c>
      <c r="L8" t="s">
        <v>302</v>
      </c>
      <c r="M8" t="s">
        <v>303</v>
      </c>
      <c r="P8" t="s">
        <v>15</v>
      </c>
    </row>
    <row r="9" spans="1:16" x14ac:dyDescent="0.3">
      <c r="A9" t="s">
        <v>42</v>
      </c>
      <c r="B9" t="s">
        <v>33</v>
      </c>
      <c r="C9" t="s">
        <v>34</v>
      </c>
      <c r="D9" t="s">
        <v>297</v>
      </c>
      <c r="E9" t="s">
        <v>298</v>
      </c>
      <c r="F9" t="s">
        <v>307</v>
      </c>
      <c r="G9" t="s">
        <v>318</v>
      </c>
      <c r="H9" t="s">
        <v>319</v>
      </c>
      <c r="I9" t="s">
        <v>43</v>
      </c>
      <c r="J9" t="s">
        <v>44</v>
      </c>
      <c r="K9" t="s">
        <v>45</v>
      </c>
      <c r="L9" t="s">
        <v>302</v>
      </c>
      <c r="M9" t="s">
        <v>303</v>
      </c>
      <c r="P9" t="s">
        <v>15</v>
      </c>
    </row>
    <row r="10" spans="1:16" x14ac:dyDescent="0.3">
      <c r="A10" t="s">
        <v>46</v>
      </c>
      <c r="B10" t="s">
        <v>33</v>
      </c>
      <c r="C10" t="s">
        <v>34</v>
      </c>
      <c r="D10" t="s">
        <v>297</v>
      </c>
      <c r="E10" t="s">
        <v>298</v>
      </c>
      <c r="F10" t="s">
        <v>310</v>
      </c>
      <c r="G10" t="s">
        <v>311</v>
      </c>
      <c r="H10" t="s">
        <v>320</v>
      </c>
      <c r="I10" t="s">
        <v>47</v>
      </c>
      <c r="J10" t="s">
        <v>48</v>
      </c>
      <c r="K10" t="s">
        <v>49</v>
      </c>
      <c r="L10" t="s">
        <v>302</v>
      </c>
      <c r="M10" t="s">
        <v>303</v>
      </c>
      <c r="P10" t="s">
        <v>15</v>
      </c>
    </row>
    <row r="11" spans="1:16" x14ac:dyDescent="0.3">
      <c r="A11" t="s">
        <v>50</v>
      </c>
      <c r="B11" t="s">
        <v>33</v>
      </c>
      <c r="C11" t="s">
        <v>34</v>
      </c>
      <c r="D11" t="s">
        <v>297</v>
      </c>
      <c r="E11" t="s">
        <v>313</v>
      </c>
      <c r="H11" t="s">
        <v>321</v>
      </c>
      <c r="I11" t="s">
        <v>51</v>
      </c>
      <c r="J11" t="s">
        <v>52</v>
      </c>
      <c r="K11" t="s">
        <v>53</v>
      </c>
      <c r="L11" t="s">
        <v>302</v>
      </c>
      <c r="M11" t="s">
        <v>303</v>
      </c>
      <c r="P11" t="s">
        <v>15</v>
      </c>
    </row>
    <row r="12" spans="1:16" x14ac:dyDescent="0.3">
      <c r="A12" t="s">
        <v>54</v>
      </c>
      <c r="B12" t="s">
        <v>55</v>
      </c>
      <c r="C12" t="s">
        <v>56</v>
      </c>
      <c r="D12" t="s">
        <v>297</v>
      </c>
      <c r="E12" t="s">
        <v>298</v>
      </c>
      <c r="F12" t="s">
        <v>299</v>
      </c>
      <c r="G12" t="s">
        <v>315</v>
      </c>
      <c r="H12" t="s">
        <v>322</v>
      </c>
      <c r="I12" t="s">
        <v>57</v>
      </c>
      <c r="J12" t="s">
        <v>58</v>
      </c>
      <c r="K12" t="s">
        <v>59</v>
      </c>
      <c r="L12" t="s">
        <v>302</v>
      </c>
      <c r="M12" t="s">
        <v>303</v>
      </c>
      <c r="P12" t="s">
        <v>15</v>
      </c>
    </row>
    <row r="13" spans="1:16" x14ac:dyDescent="0.3">
      <c r="A13" t="s">
        <v>60</v>
      </c>
      <c r="B13" t="s">
        <v>55</v>
      </c>
      <c r="C13" t="s">
        <v>56</v>
      </c>
      <c r="D13" t="s">
        <v>297</v>
      </c>
      <c r="E13" t="s">
        <v>298</v>
      </c>
      <c r="F13" t="s">
        <v>304</v>
      </c>
      <c r="G13" t="s">
        <v>305</v>
      </c>
      <c r="H13" t="s">
        <v>323</v>
      </c>
      <c r="I13" t="s">
        <v>61</v>
      </c>
      <c r="J13" t="s">
        <v>62</v>
      </c>
      <c r="K13" t="s">
        <v>63</v>
      </c>
      <c r="L13" t="s">
        <v>302</v>
      </c>
      <c r="M13" t="s">
        <v>303</v>
      </c>
      <c r="P13" t="s">
        <v>15</v>
      </c>
    </row>
    <row r="14" spans="1:16" x14ac:dyDescent="0.3">
      <c r="A14" t="s">
        <v>64</v>
      </c>
      <c r="B14" t="s">
        <v>55</v>
      </c>
      <c r="C14" t="s">
        <v>56</v>
      </c>
      <c r="D14" t="s">
        <v>297</v>
      </c>
      <c r="E14" t="s">
        <v>298</v>
      </c>
      <c r="F14" t="s">
        <v>307</v>
      </c>
      <c r="G14" t="s">
        <v>318</v>
      </c>
      <c r="H14" t="s">
        <v>324</v>
      </c>
      <c r="I14" t="s">
        <v>65</v>
      </c>
      <c r="J14" t="s">
        <v>66</v>
      </c>
      <c r="K14" t="s">
        <v>67</v>
      </c>
      <c r="L14" t="s">
        <v>302</v>
      </c>
      <c r="M14" t="s">
        <v>303</v>
      </c>
      <c r="P14" t="s">
        <v>15</v>
      </c>
    </row>
    <row r="15" spans="1:16" x14ac:dyDescent="0.3">
      <c r="A15" t="s">
        <v>68</v>
      </c>
      <c r="B15" t="s">
        <v>55</v>
      </c>
      <c r="C15" t="s">
        <v>56</v>
      </c>
      <c r="D15" t="s">
        <v>297</v>
      </c>
      <c r="E15" t="s">
        <v>298</v>
      </c>
      <c r="F15" t="s">
        <v>310</v>
      </c>
      <c r="G15" t="s">
        <v>325</v>
      </c>
      <c r="H15" t="s">
        <v>326</v>
      </c>
      <c r="I15" t="s">
        <v>69</v>
      </c>
      <c r="J15" t="s">
        <v>70</v>
      </c>
      <c r="K15" t="s">
        <v>71</v>
      </c>
      <c r="L15" t="s">
        <v>302</v>
      </c>
      <c r="M15" t="s">
        <v>303</v>
      </c>
      <c r="P15" t="s">
        <v>15</v>
      </c>
    </row>
    <row r="16" spans="1:16" x14ac:dyDescent="0.3">
      <c r="A16" t="s">
        <v>72</v>
      </c>
      <c r="B16" t="s">
        <v>55</v>
      </c>
      <c r="C16" t="s">
        <v>56</v>
      </c>
      <c r="D16" t="s">
        <v>297</v>
      </c>
      <c r="E16" t="s">
        <v>313</v>
      </c>
      <c r="H16" t="s">
        <v>327</v>
      </c>
      <c r="I16" t="s">
        <v>73</v>
      </c>
      <c r="J16" t="s">
        <v>74</v>
      </c>
      <c r="K16" t="s">
        <v>75</v>
      </c>
      <c r="L16" t="s">
        <v>302</v>
      </c>
      <c r="M16" t="s">
        <v>303</v>
      </c>
      <c r="P16" t="s">
        <v>15</v>
      </c>
    </row>
    <row r="17" spans="1:16" x14ac:dyDescent="0.3">
      <c r="A17" t="s">
        <v>76</v>
      </c>
      <c r="B17" t="s">
        <v>77</v>
      </c>
      <c r="C17" t="s">
        <v>78</v>
      </c>
      <c r="D17" t="s">
        <v>297</v>
      </c>
      <c r="E17" t="s">
        <v>298</v>
      </c>
      <c r="F17" t="s">
        <v>299</v>
      </c>
      <c r="G17" t="s">
        <v>315</v>
      </c>
      <c r="H17" t="s">
        <v>328</v>
      </c>
      <c r="I17" t="s">
        <v>79</v>
      </c>
      <c r="J17" t="s">
        <v>80</v>
      </c>
      <c r="K17" t="s">
        <v>81</v>
      </c>
      <c r="L17" t="s">
        <v>302</v>
      </c>
      <c r="M17" t="s">
        <v>303</v>
      </c>
      <c r="P17" t="s">
        <v>15</v>
      </c>
    </row>
    <row r="18" spans="1:16" x14ac:dyDescent="0.3">
      <c r="A18" t="s">
        <v>82</v>
      </c>
      <c r="B18" t="s">
        <v>77</v>
      </c>
      <c r="C18" t="s">
        <v>78</v>
      </c>
      <c r="D18" t="s">
        <v>297</v>
      </c>
      <c r="E18" t="s">
        <v>298</v>
      </c>
      <c r="F18" t="s">
        <v>304</v>
      </c>
      <c r="G18" t="s">
        <v>329</v>
      </c>
      <c r="H18" t="s">
        <v>330</v>
      </c>
      <c r="I18" t="s">
        <v>83</v>
      </c>
      <c r="J18" t="s">
        <v>84</v>
      </c>
      <c r="K18" t="s">
        <v>85</v>
      </c>
      <c r="L18" t="s">
        <v>302</v>
      </c>
      <c r="M18" t="s">
        <v>303</v>
      </c>
      <c r="P18" t="s">
        <v>15</v>
      </c>
    </row>
    <row r="19" spans="1:16" x14ac:dyDescent="0.3">
      <c r="A19" t="s">
        <v>86</v>
      </c>
      <c r="B19" t="s">
        <v>77</v>
      </c>
      <c r="C19" t="s">
        <v>78</v>
      </c>
      <c r="D19" t="s">
        <v>297</v>
      </c>
      <c r="E19" t="s">
        <v>298</v>
      </c>
      <c r="F19" t="s">
        <v>307</v>
      </c>
      <c r="G19" t="s">
        <v>318</v>
      </c>
      <c r="H19" t="s">
        <v>331</v>
      </c>
      <c r="I19" t="s">
        <v>87</v>
      </c>
      <c r="J19" t="s">
        <v>88</v>
      </c>
      <c r="K19" t="s">
        <v>89</v>
      </c>
      <c r="L19" t="s">
        <v>302</v>
      </c>
      <c r="M19" t="s">
        <v>303</v>
      </c>
      <c r="P19" t="s">
        <v>15</v>
      </c>
    </row>
    <row r="20" spans="1:16" x14ac:dyDescent="0.3">
      <c r="A20" t="s">
        <v>90</v>
      </c>
      <c r="B20" t="s">
        <v>77</v>
      </c>
      <c r="C20" t="s">
        <v>78</v>
      </c>
      <c r="D20" t="s">
        <v>297</v>
      </c>
      <c r="E20" t="s">
        <v>298</v>
      </c>
      <c r="F20" t="s">
        <v>310</v>
      </c>
      <c r="G20" t="s">
        <v>332</v>
      </c>
      <c r="H20" t="s">
        <v>333</v>
      </c>
      <c r="I20" t="s">
        <v>91</v>
      </c>
      <c r="J20" t="s">
        <v>92</v>
      </c>
      <c r="K20" t="s">
        <v>93</v>
      </c>
      <c r="L20" t="s">
        <v>302</v>
      </c>
      <c r="M20" t="s">
        <v>303</v>
      </c>
      <c r="P20" t="s">
        <v>15</v>
      </c>
    </row>
    <row r="21" spans="1:16" x14ac:dyDescent="0.3">
      <c r="A21" t="s">
        <v>94</v>
      </c>
      <c r="B21" t="s">
        <v>77</v>
      </c>
      <c r="C21" t="s">
        <v>78</v>
      </c>
      <c r="D21" t="s">
        <v>297</v>
      </c>
      <c r="E21" t="s">
        <v>313</v>
      </c>
      <c r="H21" t="s">
        <v>334</v>
      </c>
      <c r="I21" t="s">
        <v>95</v>
      </c>
      <c r="J21" t="s">
        <v>96</v>
      </c>
      <c r="K21" t="s">
        <v>97</v>
      </c>
      <c r="L21" t="s">
        <v>302</v>
      </c>
      <c r="M21" t="s">
        <v>303</v>
      </c>
      <c r="P21" t="s">
        <v>15</v>
      </c>
    </row>
    <row r="22" spans="1:16" x14ac:dyDescent="0.3">
      <c r="A22" t="s">
        <v>98</v>
      </c>
      <c r="B22" t="s">
        <v>99</v>
      </c>
      <c r="C22" t="s">
        <v>100</v>
      </c>
      <c r="D22" t="s">
        <v>297</v>
      </c>
      <c r="E22" t="s">
        <v>298</v>
      </c>
      <c r="F22" t="s">
        <v>299</v>
      </c>
      <c r="G22" t="s">
        <v>315</v>
      </c>
      <c r="H22" t="s">
        <v>335</v>
      </c>
      <c r="I22" t="s">
        <v>101</v>
      </c>
      <c r="J22" t="s">
        <v>102</v>
      </c>
      <c r="K22" t="s">
        <v>103</v>
      </c>
      <c r="L22" t="s">
        <v>302</v>
      </c>
      <c r="M22" t="s">
        <v>303</v>
      </c>
      <c r="P22" t="s">
        <v>15</v>
      </c>
    </row>
    <row r="23" spans="1:16" x14ac:dyDescent="0.3">
      <c r="A23" t="s">
        <v>104</v>
      </c>
      <c r="B23" t="s">
        <v>99</v>
      </c>
      <c r="C23" t="s">
        <v>100</v>
      </c>
      <c r="D23" t="s">
        <v>297</v>
      </c>
      <c r="E23" t="s">
        <v>298</v>
      </c>
      <c r="F23" t="s">
        <v>304</v>
      </c>
      <c r="G23" t="s">
        <v>305</v>
      </c>
      <c r="H23" t="s">
        <v>336</v>
      </c>
      <c r="I23" t="s">
        <v>105</v>
      </c>
      <c r="J23" t="s">
        <v>106</v>
      </c>
      <c r="K23" t="s">
        <v>107</v>
      </c>
      <c r="L23" t="s">
        <v>302</v>
      </c>
      <c r="M23" t="s">
        <v>303</v>
      </c>
      <c r="P23" t="s">
        <v>15</v>
      </c>
    </row>
    <row r="24" spans="1:16" x14ac:dyDescent="0.3">
      <c r="A24" t="s">
        <v>108</v>
      </c>
      <c r="B24" t="s">
        <v>99</v>
      </c>
      <c r="C24" t="s">
        <v>100</v>
      </c>
      <c r="D24" t="s">
        <v>297</v>
      </c>
      <c r="E24" t="s">
        <v>298</v>
      </c>
      <c r="F24" t="s">
        <v>307</v>
      </c>
      <c r="G24" t="s">
        <v>318</v>
      </c>
      <c r="H24" t="s">
        <v>337</v>
      </c>
      <c r="I24" t="s">
        <v>109</v>
      </c>
      <c r="J24" t="s">
        <v>110</v>
      </c>
      <c r="K24" t="s">
        <v>111</v>
      </c>
      <c r="L24" t="s">
        <v>302</v>
      </c>
      <c r="M24" t="s">
        <v>303</v>
      </c>
      <c r="P24" t="s">
        <v>15</v>
      </c>
    </row>
    <row r="25" spans="1:16" x14ac:dyDescent="0.3">
      <c r="A25" t="s">
        <v>112</v>
      </c>
      <c r="B25" t="s">
        <v>99</v>
      </c>
      <c r="C25" t="s">
        <v>100</v>
      </c>
      <c r="D25" t="s">
        <v>297</v>
      </c>
      <c r="E25" t="s">
        <v>298</v>
      </c>
      <c r="F25" t="s">
        <v>310</v>
      </c>
      <c r="G25" t="s">
        <v>311</v>
      </c>
      <c r="H25" t="s">
        <v>338</v>
      </c>
      <c r="I25" t="s">
        <v>113</v>
      </c>
      <c r="J25" t="s">
        <v>114</v>
      </c>
      <c r="K25" t="s">
        <v>115</v>
      </c>
      <c r="L25" t="s">
        <v>302</v>
      </c>
      <c r="M25" t="s">
        <v>303</v>
      </c>
      <c r="P25" t="s">
        <v>15</v>
      </c>
    </row>
    <row r="26" spans="1:16" x14ac:dyDescent="0.3">
      <c r="A26" t="s">
        <v>116</v>
      </c>
      <c r="B26" t="s">
        <v>99</v>
      </c>
      <c r="C26" t="s">
        <v>100</v>
      </c>
      <c r="D26" t="s">
        <v>297</v>
      </c>
      <c r="E26" t="s">
        <v>313</v>
      </c>
      <c r="H26" t="s">
        <v>339</v>
      </c>
      <c r="I26" t="s">
        <v>117</v>
      </c>
      <c r="J26" t="s">
        <v>118</v>
      </c>
      <c r="K26" t="s">
        <v>119</v>
      </c>
      <c r="L26" t="s">
        <v>302</v>
      </c>
      <c r="M26" t="s">
        <v>303</v>
      </c>
      <c r="P26" t="s">
        <v>15</v>
      </c>
    </row>
    <row r="27" spans="1:16" x14ac:dyDescent="0.3">
      <c r="A27" t="s">
        <v>120</v>
      </c>
      <c r="B27" t="s">
        <v>121</v>
      </c>
      <c r="C27" t="s">
        <v>122</v>
      </c>
      <c r="D27" t="s">
        <v>297</v>
      </c>
      <c r="E27" t="s">
        <v>298</v>
      </c>
      <c r="F27" t="s">
        <v>299</v>
      </c>
      <c r="G27" t="s">
        <v>300</v>
      </c>
      <c r="H27" t="s">
        <v>340</v>
      </c>
      <c r="I27" t="s">
        <v>123</v>
      </c>
      <c r="J27" t="s">
        <v>124</v>
      </c>
      <c r="K27" t="s">
        <v>125</v>
      </c>
      <c r="L27" t="s">
        <v>302</v>
      </c>
      <c r="M27" t="s">
        <v>303</v>
      </c>
      <c r="P27" t="s">
        <v>15</v>
      </c>
    </row>
    <row r="28" spans="1:16" x14ac:dyDescent="0.3">
      <c r="A28" t="s">
        <v>126</v>
      </c>
      <c r="B28" t="s">
        <v>121</v>
      </c>
      <c r="C28" t="s">
        <v>122</v>
      </c>
      <c r="D28" t="s">
        <v>297</v>
      </c>
      <c r="E28" t="s">
        <v>298</v>
      </c>
      <c r="F28" t="s">
        <v>304</v>
      </c>
      <c r="G28" t="s">
        <v>329</v>
      </c>
      <c r="H28" t="s">
        <v>341</v>
      </c>
      <c r="I28" t="s">
        <v>127</v>
      </c>
      <c r="J28" t="s">
        <v>128</v>
      </c>
      <c r="K28" t="s">
        <v>129</v>
      </c>
      <c r="L28" t="s">
        <v>302</v>
      </c>
      <c r="M28" t="s">
        <v>303</v>
      </c>
      <c r="P28" t="s">
        <v>15</v>
      </c>
    </row>
    <row r="29" spans="1:16" x14ac:dyDescent="0.3">
      <c r="A29" t="s">
        <v>130</v>
      </c>
      <c r="B29" t="s">
        <v>121</v>
      </c>
      <c r="C29" t="s">
        <v>122</v>
      </c>
      <c r="D29" t="s">
        <v>297</v>
      </c>
      <c r="E29" t="s">
        <v>298</v>
      </c>
      <c r="F29" t="s">
        <v>307</v>
      </c>
      <c r="G29" t="s">
        <v>318</v>
      </c>
      <c r="H29" t="s">
        <v>342</v>
      </c>
      <c r="I29" t="s">
        <v>131</v>
      </c>
      <c r="J29" t="s">
        <v>132</v>
      </c>
      <c r="K29" t="s">
        <v>133</v>
      </c>
      <c r="L29" t="s">
        <v>302</v>
      </c>
      <c r="M29" t="s">
        <v>303</v>
      </c>
      <c r="P29" t="s">
        <v>15</v>
      </c>
    </row>
    <row r="30" spans="1:16" x14ac:dyDescent="0.3">
      <c r="A30" t="s">
        <v>134</v>
      </c>
      <c r="B30" t="s">
        <v>121</v>
      </c>
      <c r="C30" t="s">
        <v>122</v>
      </c>
      <c r="D30" t="s">
        <v>297</v>
      </c>
      <c r="E30" t="s">
        <v>298</v>
      </c>
      <c r="F30" t="s">
        <v>310</v>
      </c>
      <c r="G30" t="s">
        <v>311</v>
      </c>
      <c r="H30" t="s">
        <v>343</v>
      </c>
      <c r="I30" t="s">
        <v>135</v>
      </c>
      <c r="J30" t="s">
        <v>136</v>
      </c>
      <c r="K30" t="s">
        <v>137</v>
      </c>
      <c r="L30" t="s">
        <v>302</v>
      </c>
      <c r="M30" t="s">
        <v>303</v>
      </c>
      <c r="P30" t="s">
        <v>15</v>
      </c>
    </row>
    <row r="31" spans="1:16" x14ac:dyDescent="0.3">
      <c r="A31" t="s">
        <v>138</v>
      </c>
      <c r="B31" t="s">
        <v>121</v>
      </c>
      <c r="C31" t="s">
        <v>122</v>
      </c>
      <c r="D31" t="s">
        <v>297</v>
      </c>
      <c r="E31" t="s">
        <v>313</v>
      </c>
      <c r="H31" t="s">
        <v>344</v>
      </c>
      <c r="I31" t="s">
        <v>139</v>
      </c>
      <c r="J31" t="s">
        <v>140</v>
      </c>
      <c r="K31" t="s">
        <v>141</v>
      </c>
      <c r="L31" t="s">
        <v>302</v>
      </c>
      <c r="M31" t="s">
        <v>303</v>
      </c>
      <c r="P31" t="s">
        <v>15</v>
      </c>
    </row>
    <row r="32" spans="1:16" x14ac:dyDescent="0.3">
      <c r="A32" t="s">
        <v>142</v>
      </c>
      <c r="B32" t="s">
        <v>143</v>
      </c>
      <c r="C32" t="s">
        <v>144</v>
      </c>
      <c r="D32" t="s">
        <v>297</v>
      </c>
      <c r="E32" t="s">
        <v>298</v>
      </c>
      <c r="F32" t="s">
        <v>299</v>
      </c>
      <c r="G32" t="s">
        <v>315</v>
      </c>
      <c r="H32" t="s">
        <v>345</v>
      </c>
      <c r="I32" t="s">
        <v>145</v>
      </c>
      <c r="J32" t="s">
        <v>146</v>
      </c>
      <c r="K32" t="s">
        <v>147</v>
      </c>
      <c r="L32" t="s">
        <v>302</v>
      </c>
      <c r="M32" t="s">
        <v>303</v>
      </c>
      <c r="P32" t="s">
        <v>15</v>
      </c>
    </row>
    <row r="33" spans="1:16" x14ac:dyDescent="0.3">
      <c r="A33" t="s">
        <v>148</v>
      </c>
      <c r="B33" t="s">
        <v>143</v>
      </c>
      <c r="C33" t="s">
        <v>144</v>
      </c>
      <c r="D33" t="s">
        <v>297</v>
      </c>
      <c r="E33" t="s">
        <v>298</v>
      </c>
      <c r="F33" t="s">
        <v>304</v>
      </c>
      <c r="G33" t="s">
        <v>305</v>
      </c>
      <c r="H33" t="s">
        <v>346</v>
      </c>
      <c r="I33" t="s">
        <v>149</v>
      </c>
      <c r="J33" t="s">
        <v>150</v>
      </c>
      <c r="K33" t="s">
        <v>151</v>
      </c>
      <c r="L33" t="s">
        <v>302</v>
      </c>
      <c r="M33" t="s">
        <v>303</v>
      </c>
      <c r="P33" t="s">
        <v>15</v>
      </c>
    </row>
    <row r="34" spans="1:16" x14ac:dyDescent="0.3">
      <c r="A34" t="s">
        <v>152</v>
      </c>
      <c r="B34" t="s">
        <v>143</v>
      </c>
      <c r="C34" t="s">
        <v>144</v>
      </c>
      <c r="D34" t="s">
        <v>297</v>
      </c>
      <c r="E34" t="s">
        <v>298</v>
      </c>
      <c r="F34" t="s">
        <v>307</v>
      </c>
      <c r="G34" t="s">
        <v>318</v>
      </c>
      <c r="H34" t="s">
        <v>347</v>
      </c>
      <c r="I34" t="s">
        <v>153</v>
      </c>
      <c r="J34" t="s">
        <v>124</v>
      </c>
      <c r="K34" t="s">
        <v>154</v>
      </c>
      <c r="L34" t="s">
        <v>302</v>
      </c>
      <c r="M34" t="s">
        <v>303</v>
      </c>
      <c r="P34" t="s">
        <v>15</v>
      </c>
    </row>
    <row r="35" spans="1:16" x14ac:dyDescent="0.3">
      <c r="A35" t="s">
        <v>155</v>
      </c>
      <c r="B35" t="s">
        <v>143</v>
      </c>
      <c r="C35" t="s">
        <v>144</v>
      </c>
      <c r="D35" t="s">
        <v>297</v>
      </c>
      <c r="E35" t="s">
        <v>298</v>
      </c>
      <c r="F35" t="s">
        <v>310</v>
      </c>
      <c r="G35" t="s">
        <v>325</v>
      </c>
      <c r="H35" t="s">
        <v>348</v>
      </c>
      <c r="I35" t="s">
        <v>156</v>
      </c>
      <c r="J35" t="s">
        <v>157</v>
      </c>
      <c r="K35" t="s">
        <v>158</v>
      </c>
      <c r="L35" t="s">
        <v>302</v>
      </c>
      <c r="M35" t="s">
        <v>303</v>
      </c>
      <c r="P35" t="s">
        <v>15</v>
      </c>
    </row>
    <row r="36" spans="1:16" x14ac:dyDescent="0.3">
      <c r="A36" t="s">
        <v>159</v>
      </c>
      <c r="B36" t="s">
        <v>143</v>
      </c>
      <c r="C36" t="s">
        <v>144</v>
      </c>
      <c r="D36" t="s">
        <v>297</v>
      </c>
      <c r="E36" t="s">
        <v>313</v>
      </c>
      <c r="H36" t="s">
        <v>349</v>
      </c>
      <c r="I36" t="s">
        <v>160</v>
      </c>
      <c r="J36" t="s">
        <v>161</v>
      </c>
      <c r="K36" t="s">
        <v>162</v>
      </c>
      <c r="L36" t="s">
        <v>302</v>
      </c>
      <c r="M36" t="s">
        <v>303</v>
      </c>
      <c r="P36" t="s">
        <v>15</v>
      </c>
    </row>
    <row r="37" spans="1:16" x14ac:dyDescent="0.3">
      <c r="A37" t="s">
        <v>163</v>
      </c>
      <c r="B37" t="s">
        <v>164</v>
      </c>
      <c r="C37" t="s">
        <v>165</v>
      </c>
      <c r="D37" t="s">
        <v>297</v>
      </c>
      <c r="E37" t="s">
        <v>298</v>
      </c>
      <c r="F37" t="s">
        <v>299</v>
      </c>
      <c r="G37" t="s">
        <v>315</v>
      </c>
      <c r="H37" t="s">
        <v>350</v>
      </c>
      <c r="I37" t="s">
        <v>166</v>
      </c>
      <c r="J37" t="s">
        <v>167</v>
      </c>
      <c r="K37" t="s">
        <v>168</v>
      </c>
      <c r="L37" t="s">
        <v>302</v>
      </c>
      <c r="M37" t="s">
        <v>303</v>
      </c>
      <c r="P37" t="s">
        <v>15</v>
      </c>
    </row>
    <row r="38" spans="1:16" x14ac:dyDescent="0.3">
      <c r="A38" t="s">
        <v>169</v>
      </c>
      <c r="B38" t="s">
        <v>164</v>
      </c>
      <c r="C38" t="s">
        <v>165</v>
      </c>
      <c r="D38" t="s">
        <v>297</v>
      </c>
      <c r="E38" t="s">
        <v>298</v>
      </c>
      <c r="F38" t="s">
        <v>304</v>
      </c>
      <c r="G38" t="s">
        <v>329</v>
      </c>
      <c r="H38" t="s">
        <v>351</v>
      </c>
      <c r="I38" t="s">
        <v>170</v>
      </c>
      <c r="J38" t="s">
        <v>171</v>
      </c>
      <c r="K38" t="s">
        <v>172</v>
      </c>
      <c r="L38" t="s">
        <v>302</v>
      </c>
      <c r="M38" t="s">
        <v>303</v>
      </c>
      <c r="P38" t="s">
        <v>15</v>
      </c>
    </row>
    <row r="39" spans="1:16" x14ac:dyDescent="0.3">
      <c r="A39" t="s">
        <v>173</v>
      </c>
      <c r="B39" t="s">
        <v>164</v>
      </c>
      <c r="C39" t="s">
        <v>165</v>
      </c>
      <c r="D39" t="s">
        <v>297</v>
      </c>
      <c r="E39" t="s">
        <v>298</v>
      </c>
      <c r="F39" t="s">
        <v>307</v>
      </c>
      <c r="G39" t="s">
        <v>318</v>
      </c>
      <c r="H39" t="s">
        <v>352</v>
      </c>
      <c r="I39" t="s">
        <v>174</v>
      </c>
      <c r="J39" t="s">
        <v>175</v>
      </c>
      <c r="K39" t="s">
        <v>176</v>
      </c>
      <c r="L39" t="s">
        <v>302</v>
      </c>
      <c r="M39" t="s">
        <v>303</v>
      </c>
      <c r="P39" t="s">
        <v>15</v>
      </c>
    </row>
    <row r="40" spans="1:16" x14ac:dyDescent="0.3">
      <c r="A40" t="s">
        <v>177</v>
      </c>
      <c r="B40" t="s">
        <v>164</v>
      </c>
      <c r="C40" t="s">
        <v>165</v>
      </c>
      <c r="D40" t="s">
        <v>297</v>
      </c>
      <c r="E40" t="s">
        <v>298</v>
      </c>
      <c r="F40" t="s">
        <v>310</v>
      </c>
      <c r="G40" t="s">
        <v>311</v>
      </c>
      <c r="H40" t="s">
        <v>353</v>
      </c>
      <c r="I40" t="s">
        <v>178</v>
      </c>
      <c r="J40" t="s">
        <v>179</v>
      </c>
      <c r="K40" t="s">
        <v>180</v>
      </c>
      <c r="L40" t="s">
        <v>302</v>
      </c>
      <c r="M40" t="s">
        <v>303</v>
      </c>
      <c r="P40" t="s">
        <v>15</v>
      </c>
    </row>
    <row r="41" spans="1:16" x14ac:dyDescent="0.3">
      <c r="A41" t="s">
        <v>181</v>
      </c>
      <c r="B41" t="s">
        <v>164</v>
      </c>
      <c r="C41" t="s">
        <v>165</v>
      </c>
      <c r="D41" t="s">
        <v>297</v>
      </c>
      <c r="E41" t="s">
        <v>313</v>
      </c>
      <c r="H41" t="s">
        <v>354</v>
      </c>
      <c r="I41" t="s">
        <v>182</v>
      </c>
      <c r="J41" t="s">
        <v>183</v>
      </c>
      <c r="K41" t="s">
        <v>184</v>
      </c>
      <c r="L41" t="s">
        <v>302</v>
      </c>
      <c r="M41" t="s">
        <v>303</v>
      </c>
      <c r="P41" t="s">
        <v>15</v>
      </c>
    </row>
    <row r="42" spans="1:16" x14ac:dyDescent="0.3">
      <c r="A42" t="s">
        <v>185</v>
      </c>
      <c r="B42" t="s">
        <v>186</v>
      </c>
      <c r="C42" t="s">
        <v>187</v>
      </c>
      <c r="D42" t="s">
        <v>297</v>
      </c>
      <c r="E42" t="s">
        <v>298</v>
      </c>
      <c r="F42" t="s">
        <v>299</v>
      </c>
      <c r="G42" t="s">
        <v>355</v>
      </c>
      <c r="H42" t="s">
        <v>356</v>
      </c>
      <c r="I42" t="s">
        <v>188</v>
      </c>
      <c r="J42" t="s">
        <v>189</v>
      </c>
      <c r="K42" t="s">
        <v>190</v>
      </c>
      <c r="L42" t="s">
        <v>302</v>
      </c>
      <c r="M42" t="s">
        <v>303</v>
      </c>
      <c r="P42" t="s">
        <v>15</v>
      </c>
    </row>
    <row r="43" spans="1:16" x14ac:dyDescent="0.3">
      <c r="A43" t="s">
        <v>191</v>
      </c>
      <c r="B43" t="s">
        <v>186</v>
      </c>
      <c r="C43" t="s">
        <v>187</v>
      </c>
      <c r="D43" t="s">
        <v>297</v>
      </c>
      <c r="E43" t="s">
        <v>298</v>
      </c>
      <c r="F43" t="s">
        <v>304</v>
      </c>
      <c r="G43" t="s">
        <v>357</v>
      </c>
      <c r="H43" t="s">
        <v>358</v>
      </c>
      <c r="I43" t="s">
        <v>192</v>
      </c>
      <c r="J43" t="s">
        <v>193</v>
      </c>
      <c r="K43" t="s">
        <v>194</v>
      </c>
      <c r="L43" t="s">
        <v>302</v>
      </c>
      <c r="M43" t="s">
        <v>303</v>
      </c>
      <c r="P43" t="s">
        <v>15</v>
      </c>
    </row>
    <row r="44" spans="1:16" x14ac:dyDescent="0.3">
      <c r="A44" t="s">
        <v>195</v>
      </c>
      <c r="B44" t="s">
        <v>186</v>
      </c>
      <c r="C44" t="s">
        <v>187</v>
      </c>
      <c r="D44" t="s">
        <v>297</v>
      </c>
      <c r="E44" t="s">
        <v>298</v>
      </c>
      <c r="F44" t="s">
        <v>307</v>
      </c>
      <c r="G44" t="s">
        <v>359</v>
      </c>
      <c r="H44" t="s">
        <v>360</v>
      </c>
      <c r="I44" t="s">
        <v>196</v>
      </c>
      <c r="J44" t="s">
        <v>197</v>
      </c>
      <c r="K44" t="s">
        <v>198</v>
      </c>
      <c r="L44" t="s">
        <v>302</v>
      </c>
      <c r="M44" t="s">
        <v>303</v>
      </c>
      <c r="P44" t="s">
        <v>15</v>
      </c>
    </row>
    <row r="45" spans="1:16" x14ac:dyDescent="0.3">
      <c r="A45" t="s">
        <v>199</v>
      </c>
      <c r="B45" t="s">
        <v>186</v>
      </c>
      <c r="C45" t="s">
        <v>187</v>
      </c>
      <c r="D45" t="s">
        <v>297</v>
      </c>
      <c r="E45" t="s">
        <v>298</v>
      </c>
      <c r="F45" t="s">
        <v>310</v>
      </c>
      <c r="G45" t="s">
        <v>361</v>
      </c>
      <c r="H45" t="s">
        <v>362</v>
      </c>
      <c r="I45" t="s">
        <v>200</v>
      </c>
      <c r="J45" t="s">
        <v>201</v>
      </c>
      <c r="K45" t="s">
        <v>202</v>
      </c>
      <c r="L45" t="s">
        <v>302</v>
      </c>
      <c r="M45" t="s">
        <v>303</v>
      </c>
      <c r="P45" t="s">
        <v>15</v>
      </c>
    </row>
    <row r="46" spans="1:16" x14ac:dyDescent="0.3">
      <c r="A46" t="s">
        <v>203</v>
      </c>
      <c r="B46" t="s">
        <v>186</v>
      </c>
      <c r="C46" t="s">
        <v>187</v>
      </c>
      <c r="D46" t="s">
        <v>297</v>
      </c>
      <c r="E46" t="s">
        <v>313</v>
      </c>
      <c r="H46" t="s">
        <v>363</v>
      </c>
      <c r="I46" t="s">
        <v>204</v>
      </c>
      <c r="J46" t="s">
        <v>205</v>
      </c>
      <c r="K46" t="s">
        <v>206</v>
      </c>
      <c r="L46" t="s">
        <v>302</v>
      </c>
      <c r="M46" t="s">
        <v>303</v>
      </c>
      <c r="P46" t="s">
        <v>15</v>
      </c>
    </row>
    <row r="47" spans="1:16" x14ac:dyDescent="0.3">
      <c r="A47" t="s">
        <v>207</v>
      </c>
      <c r="B47" t="s">
        <v>208</v>
      </c>
      <c r="C47" t="s">
        <v>209</v>
      </c>
      <c r="D47" t="s">
        <v>297</v>
      </c>
      <c r="E47" t="s">
        <v>298</v>
      </c>
      <c r="F47" t="s">
        <v>299</v>
      </c>
      <c r="G47" t="s">
        <v>315</v>
      </c>
      <c r="H47" t="s">
        <v>364</v>
      </c>
      <c r="I47" t="s">
        <v>210</v>
      </c>
      <c r="J47" t="s">
        <v>211</v>
      </c>
      <c r="K47" t="s">
        <v>212</v>
      </c>
      <c r="L47" t="s">
        <v>302</v>
      </c>
      <c r="M47" t="s">
        <v>303</v>
      </c>
      <c r="P47" t="s">
        <v>15</v>
      </c>
    </row>
    <row r="48" spans="1:16" x14ac:dyDescent="0.3">
      <c r="A48" t="s">
        <v>213</v>
      </c>
      <c r="B48" t="s">
        <v>208</v>
      </c>
      <c r="C48" t="s">
        <v>209</v>
      </c>
      <c r="D48" t="s">
        <v>297</v>
      </c>
      <c r="E48" t="s">
        <v>298</v>
      </c>
      <c r="F48" t="s">
        <v>304</v>
      </c>
      <c r="G48" t="s">
        <v>305</v>
      </c>
      <c r="H48" t="s">
        <v>365</v>
      </c>
      <c r="I48" t="s">
        <v>214</v>
      </c>
      <c r="J48" t="s">
        <v>215</v>
      </c>
      <c r="K48" t="s">
        <v>216</v>
      </c>
      <c r="L48" t="s">
        <v>302</v>
      </c>
      <c r="M48" t="s">
        <v>303</v>
      </c>
      <c r="P48" t="s">
        <v>15</v>
      </c>
    </row>
    <row r="49" spans="1:16" x14ac:dyDescent="0.3">
      <c r="A49" t="s">
        <v>217</v>
      </c>
      <c r="B49" t="s">
        <v>208</v>
      </c>
      <c r="C49" t="s">
        <v>209</v>
      </c>
      <c r="D49" t="s">
        <v>297</v>
      </c>
      <c r="E49" t="s">
        <v>298</v>
      </c>
      <c r="F49" t="s">
        <v>307</v>
      </c>
      <c r="G49" t="s">
        <v>318</v>
      </c>
      <c r="H49" t="s">
        <v>366</v>
      </c>
      <c r="I49" t="s">
        <v>218</v>
      </c>
      <c r="J49" t="s">
        <v>219</v>
      </c>
      <c r="K49" t="s">
        <v>220</v>
      </c>
      <c r="L49" t="s">
        <v>302</v>
      </c>
      <c r="M49" t="s">
        <v>303</v>
      </c>
      <c r="P49" t="s">
        <v>15</v>
      </c>
    </row>
    <row r="50" spans="1:16" x14ac:dyDescent="0.3">
      <c r="A50" t="s">
        <v>221</v>
      </c>
      <c r="B50" t="s">
        <v>208</v>
      </c>
      <c r="C50" t="s">
        <v>209</v>
      </c>
      <c r="D50" t="s">
        <v>297</v>
      </c>
      <c r="E50" t="s">
        <v>298</v>
      </c>
      <c r="F50" t="s">
        <v>310</v>
      </c>
      <c r="G50" t="s">
        <v>325</v>
      </c>
      <c r="H50" t="s">
        <v>367</v>
      </c>
      <c r="I50" t="s">
        <v>222</v>
      </c>
      <c r="J50" t="s">
        <v>223</v>
      </c>
      <c r="K50" t="s">
        <v>224</v>
      </c>
      <c r="L50" t="s">
        <v>302</v>
      </c>
      <c r="M50" t="s">
        <v>303</v>
      </c>
      <c r="P50" t="s">
        <v>15</v>
      </c>
    </row>
    <row r="51" spans="1:16" x14ac:dyDescent="0.3">
      <c r="A51" t="s">
        <v>225</v>
      </c>
      <c r="B51" t="s">
        <v>208</v>
      </c>
      <c r="C51" t="s">
        <v>209</v>
      </c>
      <c r="D51" t="s">
        <v>297</v>
      </c>
      <c r="E51" t="s">
        <v>313</v>
      </c>
      <c r="H51" t="s">
        <v>368</v>
      </c>
      <c r="I51" t="s">
        <v>226</v>
      </c>
      <c r="J51" t="s">
        <v>227</v>
      </c>
      <c r="K51" t="s">
        <v>228</v>
      </c>
      <c r="L51" t="s">
        <v>302</v>
      </c>
      <c r="M51" t="s">
        <v>303</v>
      </c>
      <c r="P51" t="s">
        <v>15</v>
      </c>
    </row>
    <row r="52" spans="1:16" x14ac:dyDescent="0.3">
      <c r="A52" t="s">
        <v>229</v>
      </c>
      <c r="B52" t="s">
        <v>230</v>
      </c>
      <c r="C52" t="s">
        <v>231</v>
      </c>
      <c r="D52" t="s">
        <v>297</v>
      </c>
      <c r="E52" t="s">
        <v>298</v>
      </c>
      <c r="F52" t="s">
        <v>299</v>
      </c>
      <c r="G52" t="s">
        <v>355</v>
      </c>
      <c r="H52" t="s">
        <v>369</v>
      </c>
      <c r="I52" t="s">
        <v>232</v>
      </c>
      <c r="J52" t="s">
        <v>233</v>
      </c>
      <c r="K52" t="s">
        <v>234</v>
      </c>
      <c r="L52" t="s">
        <v>302</v>
      </c>
      <c r="M52" t="s">
        <v>303</v>
      </c>
      <c r="P52" t="s">
        <v>15</v>
      </c>
    </row>
    <row r="53" spans="1:16" x14ac:dyDescent="0.3">
      <c r="A53" t="s">
        <v>235</v>
      </c>
      <c r="B53" t="s">
        <v>230</v>
      </c>
      <c r="C53" t="s">
        <v>231</v>
      </c>
      <c r="D53" t="s">
        <v>297</v>
      </c>
      <c r="E53" t="s">
        <v>298</v>
      </c>
      <c r="F53" t="s">
        <v>304</v>
      </c>
      <c r="G53" t="s">
        <v>370</v>
      </c>
      <c r="H53" t="s">
        <v>371</v>
      </c>
      <c r="I53" t="s">
        <v>236</v>
      </c>
      <c r="J53" t="s">
        <v>237</v>
      </c>
      <c r="K53" t="s">
        <v>238</v>
      </c>
      <c r="L53" t="s">
        <v>302</v>
      </c>
      <c r="M53" t="s">
        <v>303</v>
      </c>
      <c r="P53" t="s">
        <v>15</v>
      </c>
    </row>
    <row r="54" spans="1:16" x14ac:dyDescent="0.3">
      <c r="A54" t="s">
        <v>239</v>
      </c>
      <c r="B54" t="s">
        <v>230</v>
      </c>
      <c r="C54" t="s">
        <v>231</v>
      </c>
      <c r="D54" t="s">
        <v>297</v>
      </c>
      <c r="E54" t="s">
        <v>298</v>
      </c>
      <c r="F54" t="s">
        <v>307</v>
      </c>
      <c r="G54" t="s">
        <v>318</v>
      </c>
      <c r="H54" t="s">
        <v>372</v>
      </c>
      <c r="I54" t="s">
        <v>240</v>
      </c>
      <c r="J54" t="s">
        <v>241</v>
      </c>
      <c r="K54" t="s">
        <v>242</v>
      </c>
      <c r="L54" t="s">
        <v>302</v>
      </c>
      <c r="M54" t="s">
        <v>303</v>
      </c>
      <c r="P54" t="s">
        <v>15</v>
      </c>
    </row>
    <row r="55" spans="1:16" x14ac:dyDescent="0.3">
      <c r="A55" t="s">
        <v>243</v>
      </c>
      <c r="B55" t="s">
        <v>230</v>
      </c>
      <c r="C55" t="s">
        <v>231</v>
      </c>
      <c r="D55" t="s">
        <v>297</v>
      </c>
      <c r="E55" t="s">
        <v>298</v>
      </c>
      <c r="F55" t="s">
        <v>310</v>
      </c>
      <c r="G55" t="s">
        <v>311</v>
      </c>
      <c r="H55" t="s">
        <v>373</v>
      </c>
      <c r="I55" t="s">
        <v>244</v>
      </c>
      <c r="J55" t="s">
        <v>245</v>
      </c>
      <c r="K55" t="s">
        <v>246</v>
      </c>
      <c r="L55" t="s">
        <v>302</v>
      </c>
      <c r="M55" t="s">
        <v>303</v>
      </c>
      <c r="P55" t="s">
        <v>15</v>
      </c>
    </row>
    <row r="56" spans="1:16" x14ac:dyDescent="0.3">
      <c r="A56" t="s">
        <v>247</v>
      </c>
      <c r="B56" t="s">
        <v>230</v>
      </c>
      <c r="C56" t="s">
        <v>231</v>
      </c>
      <c r="D56" t="s">
        <v>297</v>
      </c>
      <c r="E56" t="s">
        <v>313</v>
      </c>
      <c r="H56" t="s">
        <v>374</v>
      </c>
      <c r="I56" t="s">
        <v>248</v>
      </c>
      <c r="J56" t="s">
        <v>249</v>
      </c>
      <c r="K56" t="s">
        <v>250</v>
      </c>
      <c r="L56" t="s">
        <v>302</v>
      </c>
      <c r="M56" t="s">
        <v>303</v>
      </c>
      <c r="P56" t="s">
        <v>15</v>
      </c>
    </row>
    <row r="57" spans="1:16" x14ac:dyDescent="0.3">
      <c r="A57" t="s">
        <v>251</v>
      </c>
      <c r="B57" t="s">
        <v>252</v>
      </c>
      <c r="C57" t="s">
        <v>253</v>
      </c>
      <c r="D57" t="s">
        <v>297</v>
      </c>
      <c r="E57" t="s">
        <v>298</v>
      </c>
      <c r="F57" t="s">
        <v>299</v>
      </c>
      <c r="G57" t="s">
        <v>355</v>
      </c>
      <c r="H57" t="s">
        <v>375</v>
      </c>
      <c r="I57" t="s">
        <v>254</v>
      </c>
      <c r="J57" t="s">
        <v>255</v>
      </c>
      <c r="K57" t="s">
        <v>256</v>
      </c>
      <c r="L57" t="s">
        <v>302</v>
      </c>
      <c r="M57" t="s">
        <v>303</v>
      </c>
      <c r="P57" t="s">
        <v>15</v>
      </c>
    </row>
    <row r="58" spans="1:16" x14ac:dyDescent="0.3">
      <c r="A58" t="s">
        <v>257</v>
      </c>
      <c r="B58" t="s">
        <v>252</v>
      </c>
      <c r="C58" t="s">
        <v>253</v>
      </c>
      <c r="D58" t="s">
        <v>297</v>
      </c>
      <c r="E58" t="s">
        <v>298</v>
      </c>
      <c r="F58" t="s">
        <v>304</v>
      </c>
      <c r="G58" t="s">
        <v>305</v>
      </c>
      <c r="H58" t="s">
        <v>376</v>
      </c>
      <c r="I58" t="s">
        <v>258</v>
      </c>
      <c r="J58" t="s">
        <v>259</v>
      </c>
      <c r="K58" t="s">
        <v>260</v>
      </c>
      <c r="L58" t="s">
        <v>302</v>
      </c>
      <c r="M58" t="s">
        <v>303</v>
      </c>
      <c r="P58" t="s">
        <v>15</v>
      </c>
    </row>
    <row r="59" spans="1:16" x14ac:dyDescent="0.3">
      <c r="A59" t="s">
        <v>261</v>
      </c>
      <c r="B59" t="s">
        <v>252</v>
      </c>
      <c r="C59" t="s">
        <v>253</v>
      </c>
      <c r="D59" t="s">
        <v>297</v>
      </c>
      <c r="E59" t="s">
        <v>298</v>
      </c>
      <c r="F59" t="s">
        <v>307</v>
      </c>
      <c r="G59" t="s">
        <v>318</v>
      </c>
      <c r="H59" t="s">
        <v>377</v>
      </c>
      <c r="I59" t="s">
        <v>262</v>
      </c>
      <c r="J59" t="s">
        <v>263</v>
      </c>
      <c r="K59" t="s">
        <v>264</v>
      </c>
      <c r="L59" t="s">
        <v>302</v>
      </c>
      <c r="M59" t="s">
        <v>303</v>
      </c>
      <c r="P59" t="s">
        <v>15</v>
      </c>
    </row>
    <row r="60" spans="1:16" x14ac:dyDescent="0.3">
      <c r="A60" t="s">
        <v>265</v>
      </c>
      <c r="B60" t="s">
        <v>252</v>
      </c>
      <c r="C60" t="s">
        <v>253</v>
      </c>
      <c r="D60" t="s">
        <v>297</v>
      </c>
      <c r="E60" t="s">
        <v>298</v>
      </c>
      <c r="F60" t="s">
        <v>310</v>
      </c>
      <c r="G60" t="s">
        <v>378</v>
      </c>
      <c r="H60" t="s">
        <v>379</v>
      </c>
      <c r="I60" t="s">
        <v>266</v>
      </c>
      <c r="J60" t="s">
        <v>267</v>
      </c>
      <c r="K60" t="s">
        <v>268</v>
      </c>
      <c r="L60" t="s">
        <v>302</v>
      </c>
      <c r="M60" t="s">
        <v>303</v>
      </c>
      <c r="P60" t="s">
        <v>15</v>
      </c>
    </row>
    <row r="61" spans="1:16" x14ac:dyDescent="0.3">
      <c r="A61" t="s">
        <v>269</v>
      </c>
      <c r="B61" t="s">
        <v>252</v>
      </c>
      <c r="C61" t="s">
        <v>253</v>
      </c>
      <c r="D61" t="s">
        <v>297</v>
      </c>
      <c r="E61" t="s">
        <v>313</v>
      </c>
      <c r="H61" t="s">
        <v>380</v>
      </c>
      <c r="I61" t="s">
        <v>270</v>
      </c>
      <c r="J61" t="s">
        <v>271</v>
      </c>
      <c r="K61" t="s">
        <v>272</v>
      </c>
      <c r="L61" t="s">
        <v>302</v>
      </c>
      <c r="M61" t="s">
        <v>303</v>
      </c>
      <c r="P61"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Labeling</vt:lpstr>
      <vt:lpstr>Instructions</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Sandeep Bhatt</cp:lastModifiedBy>
  <dcterms:created xsi:type="dcterms:W3CDTF">2026-09-29T06:26:55Z</dcterms:created>
  <dcterms:modified xsi:type="dcterms:W3CDTF">2026-09-29T09:31:44Z</dcterms:modified>
</cp:coreProperties>
</file>